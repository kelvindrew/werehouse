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ndry\Desktop\"/>
    </mc:Choice>
  </mc:AlternateContent>
  <bookViews>
    <workbookView xWindow="-120" yWindow="-120" windowWidth="29040" windowHeight="15720" activeTab="1"/>
  </bookViews>
  <sheets>
    <sheet name="B1 warehouse stock" sheetId="1" r:id="rId1"/>
    <sheet name="B2 warehouse stock" sheetId="2" r:id="rId2"/>
    <sheet name="Sheet1" sheetId="3" state="hidden" r:id="rId3"/>
  </sheets>
  <externalReferences>
    <externalReference r:id="rId4"/>
  </externalReferences>
  <definedNames>
    <definedName name="_xlnm._FilterDatabase" localSheetId="0" hidden="1">'B1 warehouse stock'!$B$1:$GP$776</definedName>
    <definedName name="_xlnm._FilterDatabase" localSheetId="1" hidden="1">'B2 warehouse stock'!$A$2:$CM$786</definedName>
    <definedName name="_xlnm._FilterDatabase" localSheetId="2" hidden="1">Sheet1!$A$1:$L$117</definedName>
    <definedName name="_xlnm.Print_Titles" localSheetId="0">'B1 warehouse stock'!$1:$1</definedName>
    <definedName name="_xlnm.Print_Titles" localSheetId="1">'B2 warehouse stock'!$2:$2</definedName>
  </definedNames>
  <calcPr calcId="191029"/>
</workbook>
</file>

<file path=xl/calcChain.xml><?xml version="1.0" encoding="utf-8"?>
<calcChain xmlns="http://schemas.openxmlformats.org/spreadsheetml/2006/main">
  <c r="I786" i="2" l="1"/>
  <c r="H786" i="2"/>
  <c r="I785" i="2"/>
  <c r="H785" i="2"/>
  <c r="I784" i="2"/>
  <c r="I783" i="2"/>
  <c r="H783" i="2"/>
  <c r="I782" i="2"/>
  <c r="H782" i="2"/>
  <c r="I781" i="2"/>
  <c r="H781" i="2"/>
  <c r="I780" i="2"/>
  <c r="H780" i="2"/>
  <c r="I779" i="2"/>
  <c r="I778" i="2"/>
  <c r="I777" i="2"/>
  <c r="H777" i="2"/>
  <c r="I776" i="2"/>
  <c r="H776" i="2"/>
  <c r="I775" i="2"/>
  <c r="H775" i="2"/>
  <c r="I774" i="2"/>
  <c r="H774" i="2"/>
  <c r="I773" i="2"/>
  <c r="H773" i="2"/>
  <c r="I772" i="2"/>
  <c r="H772" i="2"/>
  <c r="I771" i="2"/>
  <c r="H771" i="2"/>
  <c r="I770" i="2"/>
  <c r="H770" i="2"/>
  <c r="I769" i="2"/>
  <c r="H769" i="2"/>
  <c r="I768" i="2"/>
  <c r="H768" i="2"/>
  <c r="I767" i="2"/>
  <c r="H767" i="2"/>
  <c r="I766" i="2"/>
  <c r="I765" i="2"/>
  <c r="H765" i="2"/>
  <c r="I764" i="2"/>
  <c r="H764" i="2"/>
  <c r="I763" i="2"/>
  <c r="I759" i="2"/>
  <c r="H759" i="2"/>
  <c r="I758" i="2"/>
  <c r="H758" i="2"/>
  <c r="I757" i="2"/>
  <c r="H757" i="2"/>
  <c r="I756" i="2"/>
  <c r="I755" i="2"/>
  <c r="I754" i="2"/>
  <c r="I753" i="2"/>
  <c r="I752" i="2"/>
  <c r="I751" i="2"/>
  <c r="I750" i="2"/>
  <c r="I749" i="2"/>
  <c r="H749" i="2"/>
  <c r="I748" i="2"/>
  <c r="H748" i="2"/>
  <c r="I747" i="2"/>
  <c r="I746" i="2"/>
  <c r="I745" i="2"/>
  <c r="I744" i="2"/>
  <c r="I743" i="2"/>
  <c r="I742" i="2"/>
  <c r="I741" i="2"/>
  <c r="I740" i="2"/>
  <c r="I739" i="2"/>
  <c r="I738" i="2"/>
  <c r="H738" i="2"/>
  <c r="I737" i="2"/>
  <c r="H737" i="2"/>
  <c r="I736" i="2"/>
  <c r="H736" i="2"/>
  <c r="I735" i="2"/>
  <c r="I734" i="2"/>
  <c r="H734" i="2"/>
  <c r="I733" i="2"/>
  <c r="H733" i="2"/>
  <c r="I732" i="2"/>
  <c r="H732" i="2"/>
  <c r="I731" i="2"/>
  <c r="H731" i="2"/>
  <c r="I730" i="2"/>
  <c r="H730" i="2"/>
  <c r="I729" i="2"/>
  <c r="H729" i="2"/>
  <c r="I728" i="2"/>
  <c r="H728" i="2"/>
  <c r="I727" i="2"/>
  <c r="H727" i="2"/>
  <c r="I726" i="2"/>
  <c r="H726" i="2"/>
  <c r="I725" i="2"/>
  <c r="H725" i="2"/>
  <c r="I724" i="2"/>
  <c r="H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H711" i="2"/>
  <c r="I710" i="2"/>
  <c r="H710" i="2"/>
  <c r="I709" i="2"/>
  <c r="H709" i="2"/>
  <c r="I708" i="2"/>
  <c r="I707" i="2"/>
  <c r="H707" i="2"/>
  <c r="I706" i="2"/>
  <c r="H706" i="2"/>
  <c r="I705" i="2"/>
  <c r="I704" i="2"/>
  <c r="I703" i="2"/>
  <c r="H703" i="2"/>
  <c r="I702" i="2"/>
  <c r="I701" i="2"/>
  <c r="H701" i="2"/>
  <c r="I700" i="2"/>
  <c r="H700" i="2"/>
  <c r="I699" i="2"/>
  <c r="H699" i="2"/>
  <c r="I698" i="2"/>
  <c r="I697" i="2"/>
  <c r="I696" i="2"/>
  <c r="I695" i="2"/>
  <c r="I694" i="2"/>
  <c r="I693" i="2"/>
  <c r="I692" i="2"/>
  <c r="I691" i="2"/>
  <c r="I690" i="2"/>
  <c r="H690" i="2"/>
  <c r="I689" i="2"/>
  <c r="H689" i="2"/>
  <c r="I688" i="2"/>
  <c r="H688" i="2"/>
  <c r="I687" i="2"/>
  <c r="I686" i="2"/>
  <c r="I685" i="2"/>
  <c r="H685" i="2"/>
  <c r="I684" i="2"/>
  <c r="H684" i="2"/>
  <c r="I683" i="2"/>
  <c r="H683" i="2"/>
  <c r="I682" i="2"/>
  <c r="H682" i="2"/>
  <c r="I681" i="2"/>
  <c r="I680" i="2"/>
  <c r="H680" i="2"/>
  <c r="I679" i="2"/>
  <c r="H679" i="2"/>
  <c r="I678" i="2"/>
  <c r="I677" i="2"/>
  <c r="H677" i="2"/>
  <c r="I676" i="2"/>
  <c r="H676" i="2"/>
  <c r="I675" i="2"/>
  <c r="H675" i="2"/>
  <c r="I674" i="2"/>
  <c r="H674" i="2"/>
  <c r="I673" i="2"/>
  <c r="H673" i="2"/>
  <c r="I672" i="2"/>
  <c r="H672" i="2"/>
  <c r="I671" i="2"/>
  <c r="H671" i="2"/>
  <c r="I670" i="2"/>
  <c r="H670" i="2"/>
  <c r="I669" i="2"/>
  <c r="I668" i="2"/>
  <c r="I667" i="2"/>
  <c r="H667" i="2"/>
  <c r="I666" i="2"/>
  <c r="I665" i="2"/>
  <c r="I664" i="2"/>
  <c r="H664" i="2"/>
  <c r="I663" i="2"/>
  <c r="I661" i="2"/>
  <c r="H661" i="2"/>
  <c r="I660" i="2"/>
  <c r="I659" i="2"/>
  <c r="H659" i="2"/>
  <c r="I658" i="2"/>
  <c r="H658" i="2"/>
  <c r="I657" i="2"/>
  <c r="H657" i="2"/>
  <c r="I656" i="2"/>
  <c r="H656" i="2"/>
  <c r="I655" i="2"/>
  <c r="H655" i="2"/>
  <c r="I654" i="2"/>
  <c r="H654" i="2"/>
  <c r="I653" i="2"/>
  <c r="H653" i="2"/>
  <c r="I652" i="2"/>
  <c r="I651" i="2"/>
  <c r="H651" i="2"/>
  <c r="I650" i="2"/>
  <c r="I649" i="2"/>
  <c r="H649" i="2"/>
  <c r="I647" i="2"/>
  <c r="H647" i="2"/>
  <c r="I645" i="2"/>
  <c r="H645" i="2"/>
  <c r="I644" i="2"/>
  <c r="H644" i="2"/>
  <c r="I643" i="2"/>
  <c r="H643" i="2"/>
  <c r="I642" i="2"/>
  <c r="I641" i="2"/>
  <c r="H641" i="2"/>
  <c r="I640" i="2"/>
  <c r="I639" i="2"/>
  <c r="H639" i="2"/>
  <c r="I638" i="2"/>
  <c r="H638" i="2"/>
  <c r="I637" i="2"/>
  <c r="I636" i="2"/>
  <c r="I635" i="2"/>
  <c r="H635" i="2"/>
  <c r="I634" i="2"/>
  <c r="H634" i="2"/>
  <c r="I633" i="2"/>
  <c r="H633" i="2"/>
  <c r="I632" i="2"/>
  <c r="H632" i="2"/>
  <c r="I631" i="2"/>
  <c r="H631" i="2"/>
  <c r="I630" i="2"/>
  <c r="I629" i="2"/>
  <c r="H629" i="2"/>
  <c r="I628" i="2"/>
  <c r="H628" i="2"/>
  <c r="I627" i="2"/>
  <c r="H627" i="2"/>
  <c r="I626" i="2"/>
  <c r="H626" i="2"/>
  <c r="I625" i="2"/>
  <c r="H625" i="2"/>
  <c r="I624" i="2"/>
  <c r="H624" i="2"/>
  <c r="I623" i="2"/>
  <c r="H623" i="2"/>
  <c r="I622" i="2"/>
  <c r="H622" i="2"/>
  <c r="I621" i="2"/>
  <c r="H621" i="2"/>
  <c r="I620" i="2"/>
  <c r="H620" i="2"/>
  <c r="I619" i="2"/>
  <c r="H619" i="2"/>
  <c r="I618" i="2"/>
  <c r="H618" i="2"/>
  <c r="I617" i="2"/>
  <c r="H617" i="2"/>
  <c r="I616" i="2"/>
  <c r="H616" i="2"/>
  <c r="I615" i="2"/>
  <c r="H615" i="2"/>
  <c r="I614" i="2"/>
  <c r="I613" i="2"/>
  <c r="H613" i="2"/>
  <c r="I612" i="2"/>
  <c r="I611" i="2"/>
  <c r="I610" i="2"/>
  <c r="I609" i="2"/>
  <c r="H609" i="2"/>
  <c r="I608" i="2"/>
  <c r="H608" i="2"/>
  <c r="I607" i="2"/>
  <c r="I606" i="2"/>
  <c r="I605" i="2"/>
  <c r="I604" i="2"/>
  <c r="I603" i="2"/>
  <c r="I602" i="2"/>
  <c r="I601" i="2"/>
  <c r="I600" i="2"/>
  <c r="H600" i="2"/>
  <c r="I599" i="2"/>
  <c r="I598" i="2"/>
  <c r="H598" i="2"/>
  <c r="I597" i="2"/>
  <c r="I596" i="2"/>
  <c r="H596" i="2"/>
  <c r="I595" i="2"/>
  <c r="I594" i="2"/>
  <c r="H594" i="2"/>
  <c r="I593" i="2"/>
  <c r="I592" i="2"/>
  <c r="H592" i="2"/>
  <c r="I591" i="2"/>
  <c r="I590" i="2"/>
  <c r="I589" i="2"/>
  <c r="I588" i="2"/>
  <c r="I587" i="2"/>
  <c r="I586" i="2"/>
  <c r="H586" i="2"/>
  <c r="I585" i="2"/>
  <c r="I584" i="2"/>
  <c r="I583" i="2"/>
  <c r="I582" i="2"/>
  <c r="I581" i="2"/>
  <c r="H581" i="2"/>
  <c r="I580" i="2"/>
  <c r="I579" i="2"/>
  <c r="I578" i="2"/>
  <c r="I577" i="2"/>
  <c r="I576" i="2"/>
  <c r="H576" i="2"/>
  <c r="I575" i="2"/>
  <c r="H575" i="2"/>
  <c r="I574" i="2"/>
  <c r="H574" i="2"/>
  <c r="I573" i="2"/>
  <c r="I572" i="2"/>
  <c r="H572" i="2"/>
  <c r="I571" i="2"/>
  <c r="I570" i="2"/>
  <c r="H570" i="2"/>
  <c r="I569" i="2"/>
  <c r="H569" i="2"/>
  <c r="I568" i="2"/>
  <c r="H568" i="2"/>
  <c r="I567" i="2"/>
  <c r="H567" i="2"/>
  <c r="I566" i="2"/>
  <c r="H566" i="2"/>
  <c r="I565" i="2"/>
  <c r="H565" i="2"/>
  <c r="I564" i="2"/>
  <c r="H564" i="2"/>
  <c r="I563" i="2"/>
  <c r="H563" i="2"/>
  <c r="I562" i="2"/>
  <c r="I561" i="2"/>
  <c r="H561" i="2"/>
  <c r="I560" i="2"/>
  <c r="H560" i="2"/>
  <c r="I559" i="2"/>
  <c r="I558" i="2"/>
  <c r="H558" i="2"/>
  <c r="I557" i="2"/>
  <c r="H557" i="2"/>
  <c r="I556" i="2"/>
  <c r="H556" i="2"/>
  <c r="I555" i="2"/>
  <c r="H555" i="2"/>
  <c r="I554" i="2"/>
  <c r="H554" i="2"/>
  <c r="I553" i="2"/>
  <c r="I552" i="2"/>
  <c r="I551" i="2"/>
  <c r="I550" i="2"/>
  <c r="H550" i="2"/>
  <c r="I549" i="2"/>
  <c r="H549" i="2"/>
  <c r="I548" i="2"/>
  <c r="I547" i="2"/>
  <c r="I546" i="2"/>
  <c r="I545" i="2"/>
  <c r="H545" i="2"/>
  <c r="I544" i="2"/>
  <c r="I543" i="2"/>
  <c r="I542" i="2"/>
  <c r="I541" i="2"/>
  <c r="H541" i="2"/>
  <c r="I540" i="2"/>
  <c r="I539" i="2"/>
  <c r="I538" i="2"/>
  <c r="H538" i="2"/>
  <c r="I537" i="2"/>
  <c r="I536" i="2"/>
  <c r="H536" i="2"/>
  <c r="I535" i="2"/>
  <c r="I534" i="2"/>
  <c r="H534" i="2"/>
  <c r="I533" i="2"/>
  <c r="H533" i="2"/>
  <c r="I532" i="2"/>
  <c r="I531" i="2"/>
  <c r="I530" i="2"/>
  <c r="H530" i="2"/>
  <c r="I529" i="2"/>
  <c r="H529" i="2"/>
  <c r="I528" i="2"/>
  <c r="I527" i="2"/>
  <c r="H527" i="2"/>
  <c r="I526" i="2"/>
  <c r="H526" i="2"/>
  <c r="I525" i="2"/>
  <c r="H525" i="2"/>
  <c r="I524" i="2"/>
  <c r="H524" i="2"/>
  <c r="I523" i="2"/>
  <c r="H523" i="2"/>
  <c r="I522" i="2"/>
  <c r="I521" i="2"/>
  <c r="H521" i="2"/>
  <c r="I520" i="2"/>
  <c r="H520" i="2"/>
  <c r="I519" i="2"/>
  <c r="I518" i="2"/>
  <c r="H518" i="2"/>
  <c r="I517" i="2"/>
  <c r="H517" i="2"/>
  <c r="I516" i="2"/>
  <c r="I515" i="2"/>
  <c r="H515" i="2"/>
  <c r="I514" i="2"/>
  <c r="I513" i="2"/>
  <c r="H513" i="2"/>
  <c r="I512" i="2"/>
  <c r="I511" i="2"/>
  <c r="H511" i="2"/>
  <c r="I510" i="2"/>
  <c r="I509" i="2"/>
  <c r="I503" i="2"/>
  <c r="I502" i="2"/>
  <c r="I501" i="2"/>
  <c r="I500" i="2"/>
  <c r="I498" i="2"/>
  <c r="I497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H477" i="2"/>
  <c r="I476" i="2"/>
  <c r="I475" i="2"/>
  <c r="I474" i="2"/>
  <c r="I473" i="2"/>
  <c r="I472" i="2"/>
  <c r="I471" i="2"/>
  <c r="I470" i="2"/>
  <c r="I469" i="2"/>
  <c r="I466" i="2"/>
  <c r="H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H419" i="2"/>
  <c r="I418" i="2"/>
  <c r="I417" i="2"/>
  <c r="H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I380" i="2"/>
  <c r="I379" i="2"/>
  <c r="I378" i="2"/>
  <c r="I377" i="2"/>
  <c r="I376" i="2"/>
  <c r="I375" i="2"/>
  <c r="I374" i="2"/>
  <c r="I373" i="2"/>
  <c r="I372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H350" i="2"/>
  <c r="I349" i="2"/>
  <c r="H349" i="2"/>
  <c r="I348" i="2"/>
  <c r="I347" i="2"/>
  <c r="I346" i="2"/>
  <c r="I345" i="2"/>
  <c r="I344" i="2"/>
  <c r="H344" i="2"/>
  <c r="I343" i="2"/>
  <c r="I342" i="2"/>
  <c r="I341" i="2"/>
  <c r="H341" i="2"/>
  <c r="I340" i="2"/>
  <c r="H340" i="2"/>
  <c r="I339" i="2"/>
  <c r="H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2" i="2"/>
  <c r="I300" i="2"/>
  <c r="I299" i="2"/>
  <c r="I298" i="2"/>
  <c r="H298" i="2"/>
  <c r="I297" i="2"/>
  <c r="I296" i="2"/>
  <c r="I295" i="2"/>
  <c r="H295" i="2"/>
  <c r="I294" i="2"/>
  <c r="I293" i="2"/>
  <c r="I292" i="2"/>
  <c r="I291" i="2"/>
  <c r="I290" i="2"/>
  <c r="I289" i="2"/>
  <c r="I288" i="2"/>
  <c r="I287" i="2"/>
  <c r="I286" i="2"/>
  <c r="H286" i="2"/>
  <c r="I285" i="2"/>
  <c r="H285" i="2"/>
  <c r="I284" i="2"/>
  <c r="H284" i="2"/>
  <c r="I283" i="2"/>
  <c r="I282" i="2"/>
  <c r="I281" i="2"/>
  <c r="I280" i="2"/>
  <c r="H280" i="2"/>
  <c r="I279" i="2"/>
  <c r="I278" i="2"/>
  <c r="I277" i="2"/>
  <c r="I276" i="2"/>
  <c r="H276" i="2"/>
  <c r="I275" i="2"/>
  <c r="I274" i="2"/>
  <c r="I273" i="2"/>
  <c r="H273" i="2"/>
  <c r="I270" i="2"/>
  <c r="I269" i="2"/>
  <c r="I268" i="2"/>
  <c r="I267" i="2"/>
  <c r="I266" i="2"/>
  <c r="I265" i="2"/>
  <c r="I263" i="2"/>
  <c r="H263" i="2"/>
  <c r="I262" i="2"/>
  <c r="I261" i="2"/>
  <c r="I260" i="2"/>
  <c r="I259" i="2"/>
  <c r="I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I235" i="2"/>
  <c r="I234" i="2"/>
  <c r="H234" i="2"/>
  <c r="I233" i="2"/>
  <c r="H233" i="2"/>
  <c r="I232" i="2"/>
  <c r="I231" i="2"/>
  <c r="H231" i="2"/>
  <c r="I230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H216" i="2"/>
  <c r="I215" i="2"/>
  <c r="H215" i="2"/>
  <c r="I214" i="2"/>
  <c r="I213" i="2"/>
  <c r="I212" i="2"/>
  <c r="I211" i="2"/>
  <c r="I210" i="2"/>
  <c r="I209" i="2"/>
  <c r="H209" i="2"/>
  <c r="I208" i="2"/>
  <c r="H208" i="2"/>
  <c r="I207" i="2"/>
  <c r="I206" i="2"/>
  <c r="I205" i="2"/>
  <c r="I204" i="2"/>
  <c r="H204" i="2"/>
  <c r="I203" i="2"/>
  <c r="I202" i="2"/>
  <c r="I201" i="2"/>
  <c r="I200" i="2"/>
  <c r="I199" i="2"/>
  <c r="I198" i="2"/>
  <c r="I197" i="2"/>
  <c r="H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I155" i="2"/>
  <c r="I152" i="2"/>
  <c r="I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I143" i="2"/>
  <c r="H143" i="2"/>
  <c r="I142" i="2"/>
  <c r="I141" i="2"/>
  <c r="I140" i="2"/>
  <c r="I139" i="2"/>
  <c r="H139" i="2"/>
  <c r="I138" i="2"/>
  <c r="I137" i="2"/>
  <c r="I136" i="2"/>
  <c r="H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H100" i="2"/>
  <c r="I99" i="2"/>
  <c r="H99" i="2"/>
  <c r="I98" i="2"/>
  <c r="I97" i="2"/>
  <c r="H97" i="2"/>
  <c r="I96" i="2"/>
  <c r="I95" i="2"/>
  <c r="I94" i="2"/>
  <c r="H94" i="2"/>
  <c r="I93" i="2"/>
  <c r="H93" i="2"/>
  <c r="I92" i="2"/>
  <c r="H92" i="2"/>
  <c r="I91" i="2"/>
  <c r="I90" i="2"/>
  <c r="I89" i="2"/>
  <c r="H89" i="2"/>
  <c r="I88" i="2"/>
  <c r="I87" i="2"/>
  <c r="H87" i="2"/>
  <c r="I86" i="2"/>
  <c r="I85" i="2"/>
  <c r="I84" i="2"/>
  <c r="I83" i="2"/>
  <c r="I82" i="2"/>
  <c r="H82" i="2"/>
  <c r="I80" i="2"/>
  <c r="H80" i="2"/>
  <c r="I79" i="2"/>
  <c r="H79" i="2"/>
  <c r="I78" i="2"/>
  <c r="I77" i="2"/>
  <c r="I76" i="2"/>
  <c r="I75" i="2"/>
  <c r="I74" i="2"/>
  <c r="I73" i="2"/>
  <c r="H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I27" i="2"/>
  <c r="I26" i="2"/>
  <c r="I25" i="2"/>
  <c r="H25" i="2"/>
  <c r="I24" i="2"/>
  <c r="I23" i="2"/>
  <c r="I22" i="2"/>
  <c r="H22" i="2"/>
  <c r="I21" i="2"/>
  <c r="I20" i="2"/>
  <c r="H20" i="2"/>
  <c r="I19" i="2"/>
  <c r="I18" i="2"/>
  <c r="I17" i="2"/>
  <c r="I16" i="2"/>
  <c r="I10" i="2"/>
  <c r="I9" i="2"/>
  <c r="H9" i="2"/>
  <c r="I8" i="2"/>
  <c r="H8" i="2"/>
  <c r="I7" i="2"/>
  <c r="H7" i="2"/>
  <c r="I6" i="2"/>
  <c r="I5" i="2"/>
  <c r="I4" i="2"/>
  <c r="I3" i="2"/>
  <c r="H3" i="2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J439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J241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J223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<sst xmlns="http://schemas.openxmlformats.org/spreadsheetml/2006/main" count="6610" uniqueCount="3471">
  <si>
    <t>Material</t>
  </si>
  <si>
    <t>chinese name</t>
  </si>
  <si>
    <t>Material description</t>
  </si>
  <si>
    <t>Specification</t>
  </si>
  <si>
    <t>BIN Loc</t>
  </si>
  <si>
    <t>单价（美元）
Unit Price (USD)</t>
  </si>
  <si>
    <t>QTY</t>
  </si>
  <si>
    <t>Uom</t>
  </si>
  <si>
    <t>总价 （美元）
Total Price (USD)</t>
  </si>
  <si>
    <t>备注</t>
  </si>
  <si>
    <t>安全阀</t>
  </si>
  <si>
    <t>VALVE, RELIEF, BOILER</t>
  </si>
  <si>
    <t>A48Y-64C DN50 整定压力4.16MPa</t>
  </si>
  <si>
    <t>MD01</t>
  </si>
  <si>
    <t>EA</t>
  </si>
  <si>
    <t>后护板</t>
  </si>
  <si>
    <t>FRAME PLATE LINER INSERT,50D-B40,22K</t>
  </si>
  <si>
    <t>50D-B40</t>
  </si>
  <si>
    <t>叶轮</t>
  </si>
  <si>
    <t>IMPELLER , 200ZJ-I-A60,22K</t>
  </si>
  <si>
    <t>200ZJ-I-A60</t>
  </si>
  <si>
    <t>前护板</t>
  </si>
  <si>
    <t>THROAT BUSH, 200ZJ-I-A60,22K</t>
  </si>
  <si>
    <t>FRAME PLATE LINER INSERT,200ZJ-I-A60,22K</t>
  </si>
  <si>
    <t>耐磨出口短管</t>
  </si>
  <si>
    <t>WEAR-RESISTANT OUTLET SPOOL,200ZJ-I-A60</t>
  </si>
  <si>
    <t>DN250气动阀门</t>
  </si>
  <si>
    <t>DN250 PNEUMATIC VALVE</t>
  </si>
  <si>
    <t>KGD/DN250/QT450</t>
  </si>
  <si>
    <t>释放缸</t>
  </si>
  <si>
    <t>RELEASE CYLINDER ,HP100</t>
  </si>
  <si>
    <t>配重护板</t>
  </si>
  <si>
    <t>COUNTERWEIGHT GUARD ,HP100</t>
  </si>
  <si>
    <t>中间段轨道角钢 L=1220</t>
  </si>
  <si>
    <t>STEEL ANGLE-INTMD-1220,CHIP SCREEN 22K</t>
  </si>
  <si>
    <t>S078-DR096-02</t>
  </si>
  <si>
    <t>止回阀</t>
  </si>
  <si>
    <t>Check valve</t>
  </si>
  <si>
    <t>H44Y-10RL DN100</t>
  </si>
  <si>
    <t>尾部张紧器</t>
  </si>
  <si>
    <t>SPIRAL TIGHTENING</t>
  </si>
  <si>
    <t>STGGJ.07</t>
  </si>
  <si>
    <t>振动筛使电动机振动
VIBRATING SCREEN VIBRATES THE MOTOR!690V，50HZ，IP55，YZH20-6，Riverside motor</t>
  </si>
  <si>
    <t>BRILLIANT LEGEND INT’L LIMITED</t>
  </si>
  <si>
    <t>电机</t>
  </si>
  <si>
    <t>Electric machine</t>
  </si>
  <si>
    <t>515x350x315</t>
  </si>
  <si>
    <t>反向滚轮
RETURN ROLLER ZAAPFCU!268650</t>
  </si>
  <si>
    <t>ZAAPFCU268650</t>
  </si>
  <si>
    <t>RETURN ROLLERS</t>
  </si>
  <si>
    <t>头轴轴承总成
HEAD SHAFT BEARING ASSEMBLYZAAPFCU!268641</t>
  </si>
  <si>
    <t>ZAAPFCU268641</t>
  </si>
  <si>
    <t>HEAD SHAFT BEARING ASSEMBLY B100-EAL-001/03</t>
  </si>
  <si>
    <t>头轴轴承总成
HEAD SHAFT BEARING ASSEMBLYZAAPFCU!268642</t>
  </si>
  <si>
    <t>ZAAPFCU268642</t>
  </si>
  <si>
    <t>HEAD SHAFT BEARING ASSEMBLY B100-1 EAL-001/04</t>
  </si>
  <si>
    <t>尾轴轴承总成
TAIL SHAFT BEARING ASSEMBLY ZAAPFCU!268647</t>
  </si>
  <si>
    <t>ZAAPFCU268647</t>
  </si>
  <si>
    <t>TAIL SHAFT BEARING ASSEMBLY B100-EAM-1 001/04</t>
  </si>
  <si>
    <t>SET</t>
  </si>
  <si>
    <t>S wound washer!DN65-PN16!D2222 flat</t>
  </si>
  <si>
    <t>MOTOR</t>
  </si>
  <si>
    <t>1TL0003-1DB43-4GA4-Z=H00+L80</t>
  </si>
  <si>
    <t>1TL0003-1DB24-7FA4-Z=L80</t>
  </si>
  <si>
    <t>1TL0003-2CB23-4JA4-Z=L80</t>
  </si>
  <si>
    <t>轴瓦ф360 5.264.1938</t>
  </si>
  <si>
    <t>MAIN MOTOR BEARING BUSH</t>
  </si>
  <si>
    <t>2300-172C/63</t>
  </si>
  <si>
    <t>轴瓦ф400 5.264.1937</t>
  </si>
  <si>
    <t>轴瓦ф450 5.264.2139</t>
  </si>
  <si>
    <t>滤板把手及把手螺栓</t>
  </si>
  <si>
    <t>Filter plate handle and handle bolt</t>
  </si>
  <si>
    <t>XMZF500/1500-UK-2</t>
  </si>
  <si>
    <t>夹布器</t>
  </si>
  <si>
    <t>Cloth clamp</t>
  </si>
  <si>
    <t>XMZF500/1500-UK-3</t>
  </si>
  <si>
    <t>氧化铝干燥剂</t>
  </si>
  <si>
    <t>Al2O3 Desiccan</t>
  </si>
  <si>
    <t>φ3-5</t>
  </si>
  <si>
    <t>三相异步电动机</t>
  </si>
  <si>
    <t>Three-phase asynchronous motor</t>
  </si>
  <si>
    <t>YE3-160M1-2</t>
  </si>
  <si>
    <t>气动执行机构</t>
  </si>
  <si>
    <t>pneumatic actuator</t>
  </si>
  <si>
    <t>200X200</t>
  </si>
  <si>
    <t>BALL VALVE, Q41F4-16C DN50</t>
  </si>
  <si>
    <t>GEAR-SPUR,740 TRANSFER</t>
  </si>
  <si>
    <t>WEAR-RESISTANT INLET SPOOL,200ZJ-I-A60</t>
  </si>
  <si>
    <t>SCREW PUMP ,W6501130053</t>
  </si>
  <si>
    <t>MECHANICAL SEAL BOX , 200ZJ-I-A60,22K</t>
  </si>
  <si>
    <t>PUMP,H-PRESURE OIL,MAIN,G6UVC-187IMO,10K</t>
  </si>
  <si>
    <t>SHAFT ,65LYJ-30, 22K</t>
  </si>
  <si>
    <t>BEARING LOCK NUT ,65LYJ-30, 22K</t>
  </si>
  <si>
    <t>BEARING BODY ,65LYJ-30, 22K</t>
  </si>
  <si>
    <t>SKELETON OIL SEAL ,65LYJ-30, 22K</t>
  </si>
  <si>
    <t>SKELETON OIL SEAL ,50LYJ-30, 22K</t>
  </si>
  <si>
    <t>PIN,FLAT,BOLT PUNCH,BLLSC-1500</t>
  </si>
  <si>
    <t>PIN,ROUND,BOLT PUNCH,BLLSC-1500</t>
  </si>
  <si>
    <t>CONNECTOR,QUICK,BOLT PUNCH,BLLSC-1500</t>
  </si>
  <si>
    <t>SPIRAL WOUND WASHER!DN100-PN40!B0222</t>
  </si>
  <si>
    <t>Spiral wound washer!DN350-PN16!D2222</t>
  </si>
  <si>
    <t>S Wound Washer DN100-PN16 D2222 Flat</t>
  </si>
  <si>
    <t>S Wound Washer DN15-PN16 D2222 Flat</t>
  </si>
  <si>
    <t>S Wound Washer DN125-PN16 D2222 Flat</t>
  </si>
  <si>
    <t>SPIRAL WOUND WASHER!DN50-PN40!B0222</t>
  </si>
  <si>
    <t>S wound washer!DN80-PN16!D2222 flat</t>
  </si>
  <si>
    <t>S wound washer!DN20-PN16!D2222 flat</t>
  </si>
  <si>
    <t>SPIRAL WOUND WASHER!DN125-PN40!B0222</t>
  </si>
  <si>
    <t>S wound washer!DN25-PN16!D2222 flat</t>
  </si>
  <si>
    <t>S wound washer!DN32-PN16!D2222 flat</t>
  </si>
  <si>
    <t>S wound washer!DN50-PN16!LD2222 flat</t>
  </si>
  <si>
    <t>S wound washer!DN200-PN16!D2222 flat</t>
  </si>
  <si>
    <t>S wound washer!DN250-PN16!D2222 flat</t>
  </si>
  <si>
    <t>SPIRAL WOUND WASHER!DN25-PN40!B0222</t>
  </si>
  <si>
    <t>MOTOR, ELECTRIC FRAME 160M, 1465RPM</t>
  </si>
  <si>
    <t>DIAPHRAGM PUMP!ARO-PD20E-FES-PTT</t>
  </si>
  <si>
    <t>AIR COOLER ,THICKENER 22K</t>
  </si>
  <si>
    <t>SCREW CONVEYOR MOTOR REDUCER</t>
  </si>
  <si>
    <t>THREE-PH ASYNCHRONOUS MOTOR,3THICKEN22K</t>
  </si>
  <si>
    <t>PUMP, DOSING, SULPHURIC ACID, 145LT/HR</t>
  </si>
  <si>
    <t>VALVE, STEAM TRAP, CS47H-16C,DN20</t>
  </si>
  <si>
    <t>GATE VALVE!ELECTRIC!Z941H-64C-DN65!-!-</t>
  </si>
  <si>
    <t>normal ballvalve!Q41F-10RL DN50!316L!fla</t>
  </si>
  <si>
    <t>SubmersibleSewagePump!65WQ30-32-7.5F(Y)</t>
  </si>
  <si>
    <t>VALVE, BALL, Q41F46-10C,DN100-PN10,L=280</t>
  </si>
  <si>
    <t>SINGLE PULLEY ,JAW CR 22K</t>
  </si>
  <si>
    <t>STUFFING BOX, TUMC078</t>
  </si>
  <si>
    <t>VSD INVERTER ACS880-01-174A-7</t>
  </si>
  <si>
    <t>INVERTER,VFD ACS880-01-119A-7,10K</t>
  </si>
  <si>
    <t>General motor!W21IE3-132M4P!7.5KW!B3T400</t>
  </si>
  <si>
    <t>VSD INVERTER ACS880-01-271A-7</t>
  </si>
  <si>
    <t>SCREWS,CLAMPING BAR STAT,WEAR KIT</t>
  </si>
  <si>
    <t>TANDEM OIL PUMP ,THICKENER 22K</t>
  </si>
  <si>
    <t>MOTOR, ELECTRIC 37KW, 690V, FRAME 225S/M</t>
  </si>
  <si>
    <t>S Wound Washer DN150-PN16 D2222 Flat</t>
  </si>
  <si>
    <t>VSD INVERTER ACS880-07-0271A-7</t>
  </si>
  <si>
    <t>FUSE BASE: RT28 -32</t>
  </si>
  <si>
    <t>BREAKER CRCT,UNIV INTELLIGENT:3P,2500A</t>
  </si>
  <si>
    <t>BREAKER CRCT,UNIV INTELLIGENT:3P,1000A</t>
  </si>
  <si>
    <t>BREAKER CRCT,UNIV INTELLIGENT:3P,2000A</t>
  </si>
  <si>
    <t>BREAKER CRCT,UNIV INTELLIGENT:3P,800A</t>
  </si>
  <si>
    <t>BREAKER CRCT,UNIV INTELLIGENT:,3P,800A</t>
  </si>
  <si>
    <t>Plastic packing strap!13*0.75mm!900M</t>
  </si>
  <si>
    <t>API!φ10mm!1.25MPa</t>
  </si>
  <si>
    <t>M</t>
  </si>
  <si>
    <t>MAGNET FLOWER,AE335DG-FR1-LNA</t>
  </si>
  <si>
    <t>PE pipe quick tee connector!DN63!PN16</t>
  </si>
  <si>
    <t>PIPE PEX-AL-PEX 1620, 200M</t>
  </si>
  <si>
    <t xml:space="preserve">LITECOM ELECTRICAL </t>
  </si>
  <si>
    <t/>
  </si>
  <si>
    <t>SOLAS-A</t>
  </si>
  <si>
    <t>TUOYU</t>
  </si>
  <si>
    <t>PE pipe quick flange connector!DN63!PN16</t>
  </si>
  <si>
    <t>PE pipe quick flange connector!DN50!PN16</t>
  </si>
  <si>
    <t>PE pipe quick ball valve joint!DN50!PN16</t>
  </si>
  <si>
    <t>PACKING,TUMC111</t>
  </si>
  <si>
    <t>BOLT,316L,SPECIAL,BOLT PUNCH,BLLSC-1500</t>
  </si>
  <si>
    <t>CONNECTOR,UPPER,DRILL BODY,BLLSC-1500</t>
  </si>
  <si>
    <t>TRANSMITTER,PRESSURE</t>
  </si>
  <si>
    <t>Hi--PRS cleaner!BS663710 380V</t>
  </si>
  <si>
    <t>MEC JACK!5T</t>
  </si>
  <si>
    <t>MEC JACK!20T</t>
  </si>
  <si>
    <t>AIR FILTER,1641000474</t>
  </si>
  <si>
    <t>OIL FILTER,1641000476</t>
  </si>
  <si>
    <t>OIL FILTER,2205431902</t>
  </si>
  <si>
    <t>SMALL CONE LINING,I</t>
  </si>
  <si>
    <t>OctagonaLhammer!6P!Wooden HDL</t>
  </si>
  <si>
    <t>割枪!G01-100!射吸式割枪</t>
  </si>
  <si>
    <t>ANGLE RULER!GW-130120_200MM_ZINC SEAT</t>
  </si>
  <si>
    <t>Electric Pick!SSPC BS336133 14×250 mm</t>
  </si>
  <si>
    <t>ImpactDrill(EH)!BS660509DF/SquareShank</t>
  </si>
  <si>
    <t>Electric Wrench BS662301 NLS 1900 RPM</t>
  </si>
  <si>
    <t>Plasma Cutter LGK-120B STD Configuration</t>
  </si>
  <si>
    <t>Handchainhoist!TriangleYT-589511.0T!3M</t>
  </si>
  <si>
    <t>Contact Electrode Cutting Nozzle! P80</t>
  </si>
  <si>
    <t>BOX</t>
  </si>
  <si>
    <t>CHAIN BLOK!2T!3M</t>
  </si>
  <si>
    <t>DC Arc WM!ZX7-400GTE STD Configuration</t>
  </si>
  <si>
    <t>ELECTRIC WRENCH!BS662306</t>
  </si>
  <si>
    <t>HEAVYDUTYSOCKET!METRIC;BS511626_19MM26PC</t>
  </si>
  <si>
    <t>Electric Pick Z1G-BS01-95</t>
  </si>
  <si>
    <t>API!φ12mm!1.00MPa</t>
  </si>
  <si>
    <t>API!φ8mm!1.25MPa</t>
  </si>
  <si>
    <t>API!φ6mm!1.00Mpa</t>
  </si>
  <si>
    <t>Metal Cutting Discs!180×2.5×22SMBD</t>
  </si>
  <si>
    <t>NORDBACK</t>
  </si>
  <si>
    <t>ELECTRODE, WELDING 3.2MM 316L STAINLESS</t>
  </si>
  <si>
    <t>BX</t>
  </si>
  <si>
    <t>ELECTRODE, WELDING WELDING ROD, 3.25MM</t>
  </si>
  <si>
    <t>MMS1-234</t>
  </si>
  <si>
    <t>DISTRIBUTION BOX</t>
  </si>
  <si>
    <t>COUPLING</t>
  </si>
  <si>
    <t>PVC Tee, Inner Diameter: 75 mm, 1.60 MPa</t>
  </si>
  <si>
    <t>Plastic union!DN50!PVC</t>
  </si>
  <si>
    <t>PVC union!IN D63 mm - 1.6 MPa</t>
  </si>
  <si>
    <t>PVC union!IN D75 mm - 1.6 MPa</t>
  </si>
  <si>
    <t>PVC Tee, Inner Diameter: 63 mm, 1.60 MPa</t>
  </si>
  <si>
    <t>Tire repair tool set!</t>
  </si>
  <si>
    <t>OIL FILTER ELEMENT,LU250-8PM</t>
  </si>
  <si>
    <t>PPR union ball valve!IN D90 mm!2.0 MPa</t>
  </si>
  <si>
    <t>PPR Union Ball Valve!IN D110 mm!2.0 MPa</t>
  </si>
  <si>
    <t>PVC reducer insert! DN200 to DN125</t>
  </si>
  <si>
    <t>PPR union ball valve!IN D50 mm!2.0 MPa</t>
  </si>
  <si>
    <t>PVC reducer insert! DN200 to DN25</t>
  </si>
  <si>
    <t>PVC reducer insert! DN200 to DN75</t>
  </si>
  <si>
    <t>PVC reducer insert! DN200 to DN110</t>
  </si>
  <si>
    <t>PVC reducer insert! DN200 to DN150</t>
  </si>
  <si>
    <t>PPR union ball valve!IN D32 mm!2.0 MPa</t>
  </si>
  <si>
    <t>PPR union ball valve!IN D63 mm!2.0 MPa</t>
  </si>
  <si>
    <t>PPR Union Ball Valve!IN D20 mm!2.0 MPa</t>
  </si>
  <si>
    <t>PPR union ball valve!IN D25 mm!2.0 MPa</t>
  </si>
  <si>
    <t>PVC union!IN D20 mm - 1.6 MPa</t>
  </si>
  <si>
    <t>PVC reducer insert! DN50 to DN40</t>
  </si>
  <si>
    <t>PVC core filler! DN-50 to DN-20</t>
  </si>
  <si>
    <t>PVC core filler! DN-50 to DN-25</t>
  </si>
  <si>
    <t>PVC reducer insert! DN63 to DN50</t>
  </si>
  <si>
    <t>PVC elbow!IN D63 mm!1.60 MPa!90° angle</t>
  </si>
  <si>
    <t>PVC reducer insert! DN110 to DN25</t>
  </si>
  <si>
    <t>PVC union!IN D25 mm - 1.6 MPa</t>
  </si>
  <si>
    <t>PVC elbow!IN D75 mm!1.60 MPa!90° angle</t>
  </si>
  <si>
    <t>PVC elbow!IN D20 mm!1.60 MPa!90degrees</t>
  </si>
  <si>
    <t>PVC Plastic Flange, DN50-1.6MPa</t>
  </si>
  <si>
    <t>PVC reducer insert! DN75 to DN25</t>
  </si>
  <si>
    <t>PVC tee! Inner diameter: 32 mm! 1.60 MPa</t>
  </si>
  <si>
    <t>PVC tee! Inner diameter: 20 mm! 1.60 MPa</t>
  </si>
  <si>
    <t>PVC reducer insert! DN63 to DN32</t>
  </si>
  <si>
    <t>PVC reducer insert! DN110 to DN63</t>
  </si>
  <si>
    <t>PVC tee! Inner diameter: 50 mm! 1.60 MPa</t>
  </si>
  <si>
    <t>PVC reducer insert! DN110 to DN75</t>
  </si>
  <si>
    <t>PVC Tee, Inner Diameter: 90 mm, 1.60 MPa</t>
  </si>
  <si>
    <t>PVC elbow!IN D50 mm!1.60 MPa!90° angle</t>
  </si>
  <si>
    <t>PVC union!IN D32 mm - 1.6 MPa</t>
  </si>
  <si>
    <t>DN200  PN16</t>
  </si>
  <si>
    <t>DN250</t>
  </si>
  <si>
    <t>DN350</t>
  </si>
  <si>
    <t>JOINT,FLEXIBLE,RUBBER,DN300,PN10</t>
  </si>
  <si>
    <t>JOINT,FLEXIBLE,RUBBER,DN400,PN10</t>
  </si>
  <si>
    <t>InletPipeShortConnector!200UB-ZK150-200-</t>
  </si>
  <si>
    <t>DRY SUCTION CYCLE PUMP IMPELLER</t>
  </si>
  <si>
    <t>Air Filter Element!Screw AC!WSKL-60!XL</t>
  </si>
  <si>
    <t>Oil Separator!SAC!WSYFX-60!Xinlei</t>
  </si>
  <si>
    <t>VSD INVERTER ACS880-07-0590A-7</t>
  </si>
  <si>
    <t>ELEMENT,AIR FILTER,AIR COMPRESSOR,R110I</t>
  </si>
  <si>
    <t>ELEMENT,OIL SEPARATOR,AIR CMPRSR,R110I</t>
  </si>
  <si>
    <t>COVER,FOR LCP250-500</t>
  </si>
  <si>
    <t>SHAFT,FOR LCP250-500</t>
  </si>
  <si>
    <t>PE pipe quick ball valve joint!DN63!PN16</t>
  </si>
  <si>
    <t xml:space="preserve"> BELT,22K, KYF-130</t>
  </si>
  <si>
    <t>TOUCH SCREEN,6AV2 124-0QC02-0AX1 DC24V</t>
  </si>
  <si>
    <t>CONTROLLER, VE3008</t>
  </si>
  <si>
    <t>DETECTION MODULE,931S-U382</t>
  </si>
  <si>
    <t>DETECTION MODULE,931S-C122</t>
  </si>
  <si>
    <t>ADAPTER,6ES7193-6AR00-0AA0</t>
  </si>
  <si>
    <t>DO MODULE,6ES7132-6BH01-0BA0</t>
  </si>
  <si>
    <t>AI MODULE,6ES7134-6GF00-0AA1</t>
  </si>
  <si>
    <t>DI MODULE,6ES7131-6BH01-0BA0</t>
  </si>
  <si>
    <t>POWER MODULE,1606-XLP50E</t>
  </si>
  <si>
    <t>POWER MODULE,6EP1332-4BA00</t>
  </si>
  <si>
    <t>INTERFACE MODULE,6ES7155-6AU01-0BN0</t>
  </si>
  <si>
    <t>CPU,6ES7513-1AL02-0AB0</t>
  </si>
  <si>
    <t>DP MODULE,6GK7542-5FX00-0XE0</t>
  </si>
  <si>
    <t>CONFIGURATION CABLE,931-CABLE</t>
  </si>
  <si>
    <t>O-RING,BOLT PUNCH,BLLSC-1500</t>
  </si>
  <si>
    <t>ELEC MOTOR ,65LYJ-30, 22K</t>
  </si>
  <si>
    <t>VSD INVERTER ACS880-07-0210A-7</t>
  </si>
  <si>
    <t>FAN ,FLOCCUL 22K</t>
  </si>
  <si>
    <t>LEVEL,THEODOLITE,DL4163</t>
  </si>
  <si>
    <t>MOTOR,8/6 FF-AHPP</t>
  </si>
  <si>
    <t>3-PHS MOTOR YE3-160M2-2/15KW,690V</t>
  </si>
  <si>
    <t>HIGH PRESSURE FILTER, SAGφ75*43</t>
  </si>
  <si>
    <t>EXTINGUISHER, CYLINDER TYPE, CO2, 9KG</t>
  </si>
  <si>
    <t>AXIAL-FLOW MOTOR FAN,GX-355A 700W 690V</t>
  </si>
  <si>
    <t>MOTOR COOLING FAN,FREQ CONVER,750KW,690V</t>
  </si>
  <si>
    <t>MOTOR COOLING FAN,FREQ CONVER,550W,690V</t>
  </si>
  <si>
    <t>MOTOR, ELECTRIC 30KW, 2930RPM, IP55</t>
  </si>
  <si>
    <t>ELBOW,HDPE 90° DN150 SDR17</t>
  </si>
  <si>
    <t>MODULE,INVERTER,ACS880-04-0470A-7</t>
  </si>
  <si>
    <t>Coupling + MD pin! SLD280-43*6</t>
  </si>
  <si>
    <t>MOTOR COOLING FAN,FREQ CONVER,80W,690V</t>
  </si>
  <si>
    <t>MOTOR COOLING FAN,FREQ CONVER,150W,690V</t>
  </si>
  <si>
    <t>MOTOR COOLING FAN,FREQ CONVER,100W,690V</t>
  </si>
  <si>
    <t>MOTOR, ELECTRIC 11KW, 1480RPM, 380VOLT,</t>
  </si>
  <si>
    <t>MOTOR,VIBRATING,VIBRATING SCREEN</t>
  </si>
  <si>
    <t>MOTOR,ELEC,1TL0003-1DB24-7FA4/11KW</t>
  </si>
  <si>
    <t>BOLT,COUPLING MATCHING,PUMP,SCZ 200-400</t>
  </si>
  <si>
    <t>FILTER PLT HNDL&amp;HNDL BOLT,FLTR PRESS 22K</t>
  </si>
  <si>
    <t>Frequency converter cabinet!500KW!ACS880</t>
  </si>
  <si>
    <t>TAI</t>
  </si>
  <si>
    <t>VSD INVERTER ACS880-07-0370A-7</t>
  </si>
  <si>
    <t>MOVABLE JAW SUPPORT STRIP PT ,JAW CR 22K</t>
  </si>
  <si>
    <t>MACHINE,COLD DRY,110KW AIR COMPRESSOR</t>
  </si>
  <si>
    <t>MOTOR ,22K MAGNET,RCYD-8T2-B</t>
  </si>
  <si>
    <t>REDUCER ,22K MAGNET,RCYD-8T2-C</t>
  </si>
  <si>
    <t>Bolt kit! M20*220-8.8! Washer + Nut</t>
  </si>
  <si>
    <t>PVC</t>
  </si>
  <si>
    <t>Foot-operated grease gun! 12 L</t>
  </si>
  <si>
    <t>COUPLING, PIPE HDPE, PLASSON, 110MM</t>
  </si>
  <si>
    <t>50MM</t>
  </si>
  <si>
    <t>FILTER AIR, LU90-8.5</t>
  </si>
  <si>
    <t>MMS1-245</t>
  </si>
  <si>
    <t>AN25</t>
  </si>
  <si>
    <t>PJ,FLANGE DN200 PN10 PL RF I SS304</t>
  </si>
  <si>
    <t>PUMP, LCP250-500, COMPLETE- 10K</t>
  </si>
  <si>
    <t>PVC elbow!IN D90 mm!1.60 MPa!90° angle</t>
  </si>
  <si>
    <t>MMS1-246</t>
  </si>
  <si>
    <t>SHOVELS</t>
  </si>
  <si>
    <t>MMS1-247</t>
  </si>
  <si>
    <t>TIGES PLASTIQUES</t>
  </si>
  <si>
    <t>地脚螺栓M36*800,8.8!M36*800 big</t>
  </si>
  <si>
    <t>地脚螺栓M36*800,8.8!M36*800 small</t>
  </si>
  <si>
    <t>GASKET,VALVE RUBBER,HELICON  DN250</t>
  </si>
  <si>
    <t>General motor!W21-IE4-160M2P!15KW-V1-400</t>
  </si>
  <si>
    <t>WELDING ROD,E7018 φ4.0</t>
  </si>
  <si>
    <t>KG</t>
  </si>
  <si>
    <t>MMS1-248</t>
  </si>
  <si>
    <t>ELEVATOR /STABILSATOR</t>
  </si>
  <si>
    <t>SHOVEL, HAND SIMPLE SLEEVELESS SHOVEL</t>
  </si>
  <si>
    <t>Pipe Clamp!40-63 mm!SS!304</t>
  </si>
  <si>
    <t>Pipe Clamp!18-32 mm!SS 304</t>
  </si>
  <si>
    <t>Pipe Clamp!14-27 mm!SS 304</t>
  </si>
  <si>
    <t>Pipe Clamp!21-38 mm!SS!304</t>
  </si>
  <si>
    <t>圆螺母!反牙!85×2牙</t>
  </si>
  <si>
    <t>O-ring! 236*3.55! GB3452.1-86</t>
  </si>
  <si>
    <t>O-ring! 5*3.55! GB3452.1-82!Fluororubber</t>
  </si>
  <si>
    <t>O-ring! 8*1.8! GB-T3452.1</t>
  </si>
  <si>
    <t>FIBERGLASS INSULATED WORK LADDER</t>
  </si>
  <si>
    <t>GREASE,LUBRICATING,MOBIL XHP-222,15KG/DR</t>
  </si>
  <si>
    <t>DR</t>
  </si>
  <si>
    <t>MMS1-251</t>
  </si>
  <si>
    <t xml:space="preserve"> PLASTICS SHOVELS</t>
  </si>
  <si>
    <t>Back pressure valve! DN20</t>
  </si>
  <si>
    <t>Back pressure valve! DN15</t>
  </si>
  <si>
    <t>Longitudinal Tear Switch!ZS-L</t>
  </si>
  <si>
    <t>full set pad !65UY-25-28-2000</t>
  </si>
  <si>
    <t>Bearing !CZYUF30-30</t>
  </si>
  <si>
    <t>Bearing cover!600GS47乙</t>
  </si>
  <si>
    <t>Bearing  Cover !600GS47甲</t>
  </si>
  <si>
    <t>O- rings !65UY-25-28</t>
  </si>
  <si>
    <t>Full set oil seal !65UY-25-28-2000</t>
  </si>
  <si>
    <t>oil seal !200UB-ZK150-200-45C3L</t>
  </si>
  <si>
    <t>SEALING RING 1,M6771-2PG-FEED CART 10K</t>
  </si>
  <si>
    <t>SEAL RING 2, M6771-2PG-FEED CART 10K</t>
  </si>
  <si>
    <t>SEAL RING48, SAGφ75*43</t>
  </si>
  <si>
    <t>Back pressure valve! DN25</t>
  </si>
  <si>
    <t>Mechanical Slip Detection Switch!DH-III</t>
  </si>
  <si>
    <t>Bidirectional Rope Switch!KLT2-2</t>
  </si>
  <si>
    <t>Anti-Runoff Switch!HFKPT1-12-30</t>
  </si>
  <si>
    <t>Cased Seal!CZYUF30-30</t>
  </si>
  <si>
    <t>POLY RAIL CHAIR-L=609.2,CHIP SCREEN 22K</t>
  </si>
  <si>
    <t>GLAND 2, M6771-2PG-FEED CART 10K</t>
  </si>
  <si>
    <t>3 layer adjustment pad iron!200*100*80</t>
  </si>
  <si>
    <t>2 layer adjustment pad iron!200*100*55</t>
  </si>
  <si>
    <t>BOLT M30*90, M6771-2PG-FEED CART 10K</t>
  </si>
  <si>
    <t>NUT M30,M6771-2PG-FEED CART 10K</t>
  </si>
  <si>
    <t>NUT M36,M6771-2PG-FEED CART 10K</t>
  </si>
  <si>
    <t>ASSEMBLY,DRIVE SHAFT,DS204-01A</t>
  </si>
  <si>
    <t xml:space="preserve"> ASSEMBLY,INTERMEDIATE SHAFT,IS202-01</t>
  </si>
  <si>
    <t>coupling assembly!CZYUF30-30</t>
  </si>
  <si>
    <t>shaft sleeve !600GS47乙</t>
  </si>
  <si>
    <t>Back pressure valve! DN40</t>
  </si>
  <si>
    <t>shaft sleeve !600GS47甲</t>
  </si>
  <si>
    <t>FLAT HEAD BOLT,M6771-2PG-FEED CART 10K</t>
  </si>
  <si>
    <t>溢流弯管</t>
  </si>
  <si>
    <t>OVERFLOW ELBOW</t>
  </si>
  <si>
    <t>Z150U031801-03</t>
  </si>
  <si>
    <t>MD01-01-01-01-03</t>
  </si>
  <si>
    <t>CHECK VALVE, PN40 DN80 H44H-40</t>
  </si>
  <si>
    <t>H44H-40C DN80</t>
  </si>
  <si>
    <t>MD01-01-01-02-01</t>
  </si>
  <si>
    <t>进出口承插法兰</t>
  </si>
  <si>
    <t>IMPORT AND EXPORT SOCKET FLANGE</t>
  </si>
  <si>
    <t>KY90D</t>
  </si>
  <si>
    <t>MD01-01-01-02-02</t>
  </si>
  <si>
    <t>KY90A-1</t>
  </si>
  <si>
    <t>MD01-01-01-02-03</t>
  </si>
  <si>
    <t>PACKING ,300ZJ-I-A50,22K</t>
  </si>
  <si>
    <t>MD01-01-01-02-04</t>
  </si>
  <si>
    <t>SCREW PUMP MOTOR REDUCER ,FLOCCUL 22K</t>
  </si>
  <si>
    <t>MD01-01-01-02-05</t>
  </si>
  <si>
    <t>进气软管</t>
  </si>
  <si>
    <t>INKAKE HOSE</t>
  </si>
  <si>
    <t>1625 1898 02</t>
  </si>
  <si>
    <t>MD01-01-01-03-01</t>
  </si>
  <si>
    <t>油管</t>
  </si>
  <si>
    <t>PENDANT,500G</t>
  </si>
  <si>
    <t>MD01-01-01-03-02</t>
  </si>
  <si>
    <t>MMS1-249</t>
  </si>
  <si>
    <t>16T</t>
  </si>
  <si>
    <t>MD01-01-01-03-03</t>
  </si>
  <si>
    <t>PUMP PACKING</t>
  </si>
  <si>
    <t>MD01-01-01-03-05</t>
  </si>
  <si>
    <t>NYLON ROPE</t>
  </si>
  <si>
    <t>MD01-01-02-01-01</t>
  </si>
  <si>
    <t>PG!UHMWPE!1419mm!180mm</t>
  </si>
  <si>
    <t>MD01-01-02-01-02</t>
  </si>
  <si>
    <t>Coiled root!CPS5800 PTFE 20×20</t>
  </si>
  <si>
    <t>MD01-01-02-01-03</t>
  </si>
  <si>
    <t>Silicon dioxide!10KG</t>
  </si>
  <si>
    <t>MD01-01-02-01-04</t>
  </si>
  <si>
    <t>Coiled root!CPS5800 PTFE 18×18</t>
  </si>
  <si>
    <t>Coiled root!CPS5800 PTFE 12×12</t>
  </si>
  <si>
    <t>MD01-01-02-01-05</t>
  </si>
  <si>
    <t>螺杆泵电机减速机</t>
  </si>
  <si>
    <t>Screw Pump Motor Reducer</t>
  </si>
  <si>
    <t>SK01F-AL-80LP/4-TF,0.75KW,380VAC</t>
  </si>
  <si>
    <t>MD01-01-02-02-01</t>
  </si>
  <si>
    <t>减压阀</t>
  </si>
  <si>
    <t>Pressure Reducing Valve</t>
  </si>
  <si>
    <t>G4" ，2-5Bar</t>
  </si>
  <si>
    <t>MD01-01-02-02-02</t>
  </si>
  <si>
    <t>G4" ， 2~5KG</t>
  </si>
  <si>
    <t>MD01-01-02-02-03</t>
  </si>
  <si>
    <t>减速机</t>
  </si>
  <si>
    <t>MD01-01-02-02-04</t>
  </si>
  <si>
    <t>Plum mat!GM90!AC!XLPM350A-IID-8!Xinlei</t>
  </si>
  <si>
    <t>MD01-01-02-02-05</t>
  </si>
  <si>
    <t>FILTER PUMP PACKING</t>
  </si>
  <si>
    <t>MD01-01-02-03-01</t>
  </si>
  <si>
    <t>FINE SULFUR PUMP PACKING</t>
  </si>
  <si>
    <t>MD01-01-02-03-02</t>
  </si>
  <si>
    <t>INTERMEDIATE TANK PUMP PACKING</t>
  </si>
  <si>
    <t>MD01-01-02-03-03</t>
  </si>
  <si>
    <t>GASKET FOR FINE SULFUR PUMP</t>
  </si>
  <si>
    <t>MD01-01-02-03-04</t>
  </si>
  <si>
    <t>INTERMEDIATE TANK PUMP GASKET</t>
  </si>
  <si>
    <t>MD01-01-02-03-05</t>
  </si>
  <si>
    <t>Coiled root!CPS5800 PTFE 10×10</t>
  </si>
  <si>
    <t>MD01-01-03-01-01</t>
  </si>
  <si>
    <t>Packing!CPS5800SFPTFEPACK!16×16mmZhejian</t>
  </si>
  <si>
    <t>MD01-01-03-01-02</t>
  </si>
  <si>
    <t>Coiled root!CPS5800 PTFE 14×14</t>
  </si>
  <si>
    <t>MD01-01-03-01-03</t>
  </si>
  <si>
    <t>PEpipequick four-way connector!DN50!PN16</t>
  </si>
  <si>
    <t>MD01-01-03-01-04</t>
  </si>
  <si>
    <t>ACID TROUGH PUMP BEARING</t>
  </si>
  <si>
    <t>MD01-01-03-01-05</t>
  </si>
  <si>
    <t>Temperature control valve!XLPM350A-IID-8</t>
  </si>
  <si>
    <t>MD01-01-03-02-01</t>
  </si>
  <si>
    <t>MinimumPV!XLPM350A-IID-8-MINYLF!AC!Xinle</t>
  </si>
  <si>
    <t>MD01-01-03-02-02</t>
  </si>
  <si>
    <t>VIBROMETER</t>
  </si>
  <si>
    <t>MD01-01-03-02-03</t>
  </si>
  <si>
    <t>Impeller&amp;cover!200UB-ZK150-200-45C3L!CP</t>
  </si>
  <si>
    <t>MD01-01-03-02-04</t>
  </si>
  <si>
    <t>ELBOW 25MM</t>
  </si>
  <si>
    <t>MD01-01-03-02-05</t>
  </si>
  <si>
    <t>GASKET FOR FILTER AID PUMP</t>
  </si>
  <si>
    <t>MD01-01-03-03-01</t>
  </si>
  <si>
    <t>FILTER PUMP GASKET FOR PUMP</t>
  </si>
  <si>
    <t>MD01-01-03-03-02</t>
  </si>
  <si>
    <t>Auxiliaryimpeller!200UB-ZK150-200-45C3L!</t>
  </si>
  <si>
    <t>MD01-01-03-03-03</t>
  </si>
  <si>
    <t>Impeller!65FUH-30-30-28-CO-7.5KW!CP</t>
  </si>
  <si>
    <t>MD01-01-03-03-04</t>
  </si>
  <si>
    <t>InletPipeSet!65FUH-30-30-28-CO-7.5KW!CP</t>
  </si>
  <si>
    <t>MD01-01-03-03-05</t>
  </si>
  <si>
    <t>Safety valve</t>
  </si>
  <si>
    <t>A48Y-40C DN100</t>
  </si>
  <si>
    <t>MD01-02-01-01-01</t>
  </si>
  <si>
    <t>MD01-02-01-01-02</t>
  </si>
  <si>
    <t>COUPLING, PIPE HDPE, PLASSON, 50MM</t>
  </si>
  <si>
    <t>MD01-02-01-01-03</t>
  </si>
  <si>
    <t>normal ballvalve!Q41F-10RL DN150!316L!fl</t>
  </si>
  <si>
    <t>MD01-02-01-01-04</t>
  </si>
  <si>
    <t>MD01-02-01-01-05</t>
  </si>
  <si>
    <t>Coupling!LZ90I95|335KW|L270!Air compress</t>
  </si>
  <si>
    <t>SAFTY VALVE, PN40 DN80 A48Y-40</t>
  </si>
  <si>
    <t>A48Y-40C DN80</t>
  </si>
  <si>
    <t>MD01-02-01-02-01</t>
  </si>
  <si>
    <t>PIPE,OIL,BOLT PUNCH,BLLSC-1500</t>
  </si>
  <si>
    <t>MD01-02-01-03-01</t>
  </si>
  <si>
    <t>Transformer!A1.5.131.858!Air compressor!</t>
  </si>
  <si>
    <t>MD01-02-01-03-02</t>
  </si>
  <si>
    <t>O-RING,2256,FOR 100ZG-500</t>
  </si>
  <si>
    <t>MD01-02-01-03-03</t>
  </si>
  <si>
    <t>Solenoid valve!XLPM350A-IID-8-DCF!Air co</t>
  </si>
  <si>
    <t>MD01-02-01-03-04</t>
  </si>
  <si>
    <t>MMS1-241</t>
  </si>
  <si>
    <t>MD01-02-01-03-05</t>
  </si>
  <si>
    <t>BEARING, H936349 902A2 - 2TS-IM400MCR</t>
  </si>
  <si>
    <t>MD01-02-02-01-01</t>
  </si>
  <si>
    <t>BEARING,  SKF NU 2234ECML400MCR</t>
  </si>
  <si>
    <t>MD01-02-02-01-02</t>
  </si>
  <si>
    <t>DRILL ROD,BOLT PUNCH,BLLSC-1500</t>
  </si>
  <si>
    <t>MD01-02-02-01-03</t>
  </si>
  <si>
    <t>MD01-02-02-01-04</t>
  </si>
  <si>
    <t>PE pipe quick tee connector!DN50!PN16</t>
  </si>
  <si>
    <t>MD01-02-02-01-05</t>
  </si>
  <si>
    <t>Fuse!A1.5.132.004!AC!XLPM350A-IID-8!Xinl</t>
  </si>
  <si>
    <t>MD01-02-02-02-02</t>
  </si>
  <si>
    <t>Safety valve!XLPM350A-IID-8-AQF!Xinlei</t>
  </si>
  <si>
    <t>Safety valve!SAC!XLPM350A-IID-8!Xinlei</t>
  </si>
  <si>
    <t>MD01-02-02-02-03</t>
  </si>
  <si>
    <t>Pressure switch!A1.5.083.004!Air compres</t>
  </si>
  <si>
    <t>Controller!MAM6090(B)(T)(V)(400)!XLPM350</t>
  </si>
  <si>
    <t>MD01-02-02-02-04</t>
  </si>
  <si>
    <t>Transformer!A1.5.131.057!Air compressor!</t>
  </si>
  <si>
    <t>MD01-02-02-02-05</t>
  </si>
  <si>
    <t>排气管</t>
  </si>
  <si>
    <t>EXHAUST PIPE</t>
  </si>
  <si>
    <t>1641 0055 15</t>
  </si>
  <si>
    <t>MD01-02-02-03-01</t>
  </si>
  <si>
    <t>PIPE,OIL RETURN,BOLT PUNCH,BLLSC-1500</t>
  </si>
  <si>
    <t>MD01-02-02-03-02</t>
  </si>
  <si>
    <t>PIPE,OIL,HPR,BOLT PUNCH,BLLSC-1500</t>
  </si>
  <si>
    <t>MD01-02-02-03-03</t>
  </si>
  <si>
    <t>MD01-02-02-03-04</t>
  </si>
  <si>
    <t>MD01-02-02-03-05</t>
  </si>
  <si>
    <t>PE pipe quick elbow connector!DN63!PN16</t>
  </si>
  <si>
    <t>MD01-02-03-01-01</t>
  </si>
  <si>
    <t>PEpipequick four-way connector!DN63!PN16</t>
  </si>
  <si>
    <t>MD01-02-03-01-02</t>
  </si>
  <si>
    <t>MD01-02-03-02-01</t>
  </si>
  <si>
    <t>OutletPipeASY!65FUH-30-30-28-CO-7.5KW!CP</t>
  </si>
  <si>
    <t>MMS1-206</t>
  </si>
  <si>
    <t xml:space="preserve">COMPRESSION CONNECTION </t>
  </si>
  <si>
    <t>MD01-02-03-02-02</t>
  </si>
  <si>
    <t>JOINT,FLEXIBLE,RUBBER,DN65,PN10</t>
  </si>
  <si>
    <t>JOINT,FLEXIBLE,RUBBER,DN80,PN10</t>
  </si>
  <si>
    <t>MD01-02-03-02-03</t>
  </si>
  <si>
    <t>JOINT,FLEXIBLE,RUBBER,DN50,PN10</t>
  </si>
  <si>
    <t>MD01-02-03-02-04</t>
  </si>
  <si>
    <t>JOINT,FLEXIBLE,RUBBER,DN100,PN10</t>
  </si>
  <si>
    <t>MD01-02-03-02-05</t>
  </si>
  <si>
    <t>ACID TROUGH PUMP FULL SET OF O-RING</t>
  </si>
  <si>
    <t>MD01-02-03-03-01</t>
  </si>
  <si>
    <t>ACID PUMP FULL SET OF O-RING</t>
  </si>
  <si>
    <t>UNDERGROUND TANK PUMP FULL SET OF O-RING</t>
  </si>
  <si>
    <t>DRY SUCTION PUMP FULL SET OF O-RING</t>
  </si>
  <si>
    <t>FINE SULFUR PUMP LING SNAKE SPRING</t>
  </si>
  <si>
    <t>MD01-02-03-03-02</t>
  </si>
  <si>
    <t>SNAKE-TYPE SPRING</t>
  </si>
  <si>
    <t>ACID PUMP COUPLING SNAKE SPRING</t>
  </si>
  <si>
    <t>COUPLING SNAKE SPRING</t>
  </si>
  <si>
    <t>DRY PUMP COUPLING SNAKE SPRING</t>
  </si>
  <si>
    <t>PUMP OUT LINE</t>
  </si>
  <si>
    <t>Seal ASY!65FUH-30-30-28-CO-7.5KW!CP</t>
  </si>
  <si>
    <t>MD01-02-03-03-03</t>
  </si>
  <si>
    <t>Lock Nut!200UB-ZK150-200-45C3L!CP</t>
  </si>
  <si>
    <t>MD01-02-03-03-04</t>
  </si>
  <si>
    <t>FINE SULFUR PUMP BUSHING</t>
  </si>
  <si>
    <t>MD01-02-03-03-05</t>
  </si>
  <si>
    <t>MD01-03-01-01-01</t>
  </si>
  <si>
    <t>TEE, REDUCING, HDPE, PLASSON 50X25X50MM</t>
  </si>
  <si>
    <t>MD01-03-01-01-02</t>
  </si>
  <si>
    <t>MD01-03-01-01-03</t>
  </si>
  <si>
    <t>MIXER MOTOR REDUCER ,FLOCCUL 22K</t>
  </si>
  <si>
    <t>MD01-03-01-01-04</t>
  </si>
  <si>
    <t>Motor</t>
  </si>
  <si>
    <t>R67DRN100L4</t>
  </si>
  <si>
    <t>MD01-03-01-01-05</t>
  </si>
  <si>
    <t>PIPE,EXHAUST</t>
  </si>
  <si>
    <t>1625 1768 56</t>
  </si>
  <si>
    <t>MD01-03-01-02-01</t>
  </si>
  <si>
    <t>截止阀</t>
  </si>
  <si>
    <t>GLOBLE VALVE, PN16 DN50 J41H-16C</t>
  </si>
  <si>
    <t>J41H-16C DN50</t>
  </si>
  <si>
    <t>MD01-03-01-02-02</t>
  </si>
  <si>
    <t>GLOBLE VALVE, PN16 DN80 J41H-16C</t>
  </si>
  <si>
    <t>J41H-16C DN80</t>
  </si>
  <si>
    <t>MD01-03-01-02-04</t>
  </si>
  <si>
    <t>COMPRESSION PN 16</t>
  </si>
  <si>
    <t>MD01-03-01-02-05</t>
  </si>
  <si>
    <t>1641 0055 16</t>
  </si>
  <si>
    <t>MD01-03-01-03-01</t>
  </si>
  <si>
    <t>软管</t>
  </si>
  <si>
    <t>HOSE</t>
  </si>
  <si>
    <t>1625 1855 20</t>
  </si>
  <si>
    <t>MD01-03-01-03-02</t>
  </si>
  <si>
    <t>1625 1855 21</t>
  </si>
  <si>
    <t>MD01-03-01-03-03</t>
  </si>
  <si>
    <t>1625 1855 19</t>
  </si>
  <si>
    <t>MD01-03-01-03-04</t>
  </si>
  <si>
    <t>OIL PIPE</t>
  </si>
  <si>
    <t>1641 0056 40</t>
  </si>
  <si>
    <t>MD01-03-01-03-05</t>
  </si>
  <si>
    <t>预过滤网</t>
  </si>
  <si>
    <t>PRE FILTER</t>
  </si>
  <si>
    <t>1089 9486 63</t>
  </si>
  <si>
    <t>MD01-03-01-04-01</t>
  </si>
  <si>
    <t>PRE-FILTER</t>
  </si>
  <si>
    <t>1089 948642</t>
  </si>
  <si>
    <t>MD01-03-01-04-02</t>
  </si>
  <si>
    <t>保温球阀</t>
  </si>
  <si>
    <t>Ball valve</t>
  </si>
  <si>
    <t>BQ41F-16P DN100*150</t>
  </si>
  <si>
    <t>MD01-03-02-01-01</t>
  </si>
  <si>
    <t>衬氟止回阀</t>
  </si>
  <si>
    <t>VALVE, CHECK, H44S-10C,DN80-PN10</t>
  </si>
  <si>
    <t>H44F46-10C DN80</t>
  </si>
  <si>
    <t>MD01-03-02-01-02</t>
  </si>
  <si>
    <t>ELBOW, PIPE, HDPE, 63NB, 90 DEG, SDR11</t>
  </si>
  <si>
    <t>MD01-03-02-01-03</t>
  </si>
  <si>
    <t>球阀</t>
  </si>
  <si>
    <t>VALVE, BALL, Q41F-10R DN125-PN10</t>
  </si>
  <si>
    <t>Q41F-10R DN125</t>
  </si>
  <si>
    <t>MD01-03-02-01-04</t>
  </si>
  <si>
    <t>VALVE, CHECK, H44S-10C,DN65-PN10</t>
  </si>
  <si>
    <t>H44F46-10C DN65</t>
  </si>
  <si>
    <t>MD01-03-02-01-05</t>
  </si>
  <si>
    <t>GLOBLE VALVE, PN40 DN80 J41H-40</t>
  </si>
  <si>
    <t>J41H-40C DN80</t>
  </si>
  <si>
    <t>MD01-03-02-02-01</t>
  </si>
  <si>
    <t>MD01-03-02-02-02</t>
  </si>
  <si>
    <t>GLOBLE VALVE, PN16 DN32 J41H-16C</t>
  </si>
  <si>
    <t>J41H-16C DN32</t>
  </si>
  <si>
    <t>MD01-03-02-02-03</t>
  </si>
  <si>
    <t>GLOBLE VALVE, PN16 DN15 J41H-16C</t>
  </si>
  <si>
    <t>J41H-16C DN15</t>
  </si>
  <si>
    <t>MD01-03-02-02-04</t>
  </si>
  <si>
    <t>GLOBLE VALVE, PN40 DN15 J41H-40</t>
  </si>
  <si>
    <t>J41H-40C DN15</t>
  </si>
  <si>
    <t>MD01-03-02-02-05</t>
  </si>
  <si>
    <t>Y-FILTERGL41W-16P,DN80</t>
  </si>
  <si>
    <t>1641 0055 96</t>
  </si>
  <si>
    <t>MD01-03-02-03-01</t>
  </si>
  <si>
    <t>管</t>
  </si>
  <si>
    <t>FITTING,PIPE</t>
  </si>
  <si>
    <t>MD01-03-02-03-02</t>
  </si>
  <si>
    <t>PIPE,OIL</t>
  </si>
  <si>
    <t>1677 1867 58</t>
  </si>
  <si>
    <t>MD01-03-02-03-03</t>
  </si>
  <si>
    <t>HOSE,INTAKE</t>
  </si>
  <si>
    <t>1645 1890 81</t>
  </si>
  <si>
    <t>MD01-03-02-03-04</t>
  </si>
  <si>
    <t>1641 0055 98</t>
  </si>
  <si>
    <t>MD01-03-02-03-05</t>
  </si>
  <si>
    <t>SK33F-AL-132SP/4-TF,690VAC</t>
  </si>
  <si>
    <t>MD01-03-03-01-01</t>
  </si>
  <si>
    <t>ELBOW, HDPE, PLASSON, 50MM</t>
  </si>
  <si>
    <t>MD01-03-03-01-02</t>
  </si>
  <si>
    <t>JOINT,FLEXIBLE,RUBBER,DN150,PN10</t>
  </si>
  <si>
    <t>MD01-03-03-01-03</t>
  </si>
  <si>
    <t>ELBOW, HDPE, PLASSON 110 MM</t>
  </si>
  <si>
    <t>MD01-03-03-01-04</t>
  </si>
  <si>
    <t>MMS1-242</t>
  </si>
  <si>
    <t>TEE, PIPE HDPE, PLASSON, 110MM</t>
  </si>
  <si>
    <t>MD01-03-03-01-05</t>
  </si>
  <si>
    <t>GLOBLE VALVE, PN16 DN40 J41H-16C</t>
  </si>
  <si>
    <t>J41H-16C DN40</t>
  </si>
  <si>
    <t>MD01-03-03-02-01</t>
  </si>
  <si>
    <t>GLOBLE VALVE, PN40 DN25 J41H-40</t>
  </si>
  <si>
    <t>J41H-40C DN25</t>
  </si>
  <si>
    <t>MD01-03-03-02-02</t>
  </si>
  <si>
    <t>GLOBLE VALVE, PN40 DN20 J41H-40</t>
  </si>
  <si>
    <t>J41H-40C DN20</t>
  </si>
  <si>
    <t>MD01-03-03-02-03</t>
  </si>
  <si>
    <t>CHECK VALVE, PN40 DN20 H44H-40</t>
  </si>
  <si>
    <t>H44H-40C DN20</t>
  </si>
  <si>
    <t>MD01-03-03-02-04</t>
  </si>
  <si>
    <t>2205 1995 44</t>
  </si>
  <si>
    <t>MD01-03-03-02-05</t>
  </si>
  <si>
    <t>1625 1889 29</t>
  </si>
  <si>
    <t>MD01-03-03-03-01</t>
  </si>
  <si>
    <t>oil pipe</t>
  </si>
  <si>
    <t>1641 4703 15</t>
  </si>
  <si>
    <t>MD01-03-03-03-02</t>
  </si>
  <si>
    <t>2205 4715 81</t>
  </si>
  <si>
    <t>MD01-03-03-03-03</t>
  </si>
  <si>
    <t>2205 2515 70</t>
  </si>
  <si>
    <t>MD01-03-03-03-04</t>
  </si>
  <si>
    <t>MD01-03-03-03-05</t>
  </si>
  <si>
    <t>单法兰履带支重轮
SINGLE FLANGE ROLLER ZAAPFCU!268649</t>
  </si>
  <si>
    <t>ZAAPFCU268649</t>
  </si>
  <si>
    <t>SINGLE FLANGE ROLLERS</t>
  </si>
  <si>
    <t>MD01-08-01-01-01</t>
  </si>
  <si>
    <t>筋护板</t>
  </si>
  <si>
    <t>ARM GUARD ,HP100</t>
  </si>
  <si>
    <t>MD01-08-01-01-05</t>
  </si>
  <si>
    <t>PENDANT,LED,30W,LIGHT FIT,EXPLOD-PROTECT</t>
  </si>
  <si>
    <t>MD01-08-01-02-01</t>
  </si>
  <si>
    <t>小齿轮</t>
  </si>
  <si>
    <t>GEAR ,HP100</t>
  </si>
  <si>
    <t>MD01-08-01-02-02</t>
  </si>
  <si>
    <t>MMS1-208</t>
  </si>
  <si>
    <t>MD01-08-01-02-03</t>
  </si>
  <si>
    <t>10吨抓斗式双梁起重机全车制动瓦块</t>
  </si>
  <si>
    <t>Brake pads</t>
  </si>
  <si>
    <t>配套设备：QZ10t-28.5 A7</t>
  </si>
  <si>
    <t>MD01-08-01-02-04</t>
  </si>
  <si>
    <t>BALL VALVE, Q11F-150LB-CF3M 2</t>
  </si>
  <si>
    <t>MD01-08-01-03-01</t>
  </si>
  <si>
    <t>DUCT SIGHT GLASSES, 2150LB  316L</t>
  </si>
  <si>
    <t>MD01-08-01-03-02</t>
  </si>
  <si>
    <t>分料盘</t>
  </si>
  <si>
    <t>DISTRIBUTION TRAY ,HP100</t>
  </si>
  <si>
    <t>N65558006</t>
  </si>
  <si>
    <t>MD01-08-01-03-03</t>
  </si>
  <si>
    <t>40693203(3EA)</t>
  </si>
  <si>
    <t>VALVE, BALL, DN25PN16304, 10K</t>
  </si>
  <si>
    <t>MD01-08-01-03-04</t>
  </si>
  <si>
    <t>2 Materials</t>
  </si>
  <si>
    <t>偏心铜套</t>
  </si>
  <si>
    <t xml:space="preserve"> ECCENTRIC COPPER SLEEVE ,HP100</t>
  </si>
  <si>
    <t>MD01-08-01-03-05</t>
  </si>
  <si>
    <t>主机架护板</t>
  </si>
  <si>
    <t>MAIN FRAME GUARD ,HP100</t>
  </si>
  <si>
    <t>MD01-08-02-01-01</t>
  </si>
  <si>
    <t>水平轴铜套</t>
  </si>
  <si>
    <t>HORIZONTAL SHAFT COPPER SLEEVE ,HP100</t>
  </si>
  <si>
    <t>MD01-08-02-01-02</t>
  </si>
  <si>
    <t>密封</t>
  </si>
  <si>
    <t>Sealed</t>
  </si>
  <si>
    <t>C500-1.415/0.855</t>
  </si>
  <si>
    <t>MD01-08-02-01-03</t>
  </si>
  <si>
    <t>钢制螺旋弹簧</t>
  </si>
  <si>
    <t>STEEL COIL SPRING-D27,CHIP SCREEN 22K</t>
  </si>
  <si>
    <t>D27</t>
  </si>
  <si>
    <t>MD01-08-02-01-04</t>
  </si>
  <si>
    <t>BEARING ASSY,HEAD SHAFT,I,B100-EAL-001/0</t>
  </si>
  <si>
    <t>MD01-08-02-02-01</t>
  </si>
  <si>
    <t>BEARING ASSY,TAIL SHAFT,I,B100-EAM-001/0</t>
  </si>
  <si>
    <t>MD01-08-02-02-02</t>
  </si>
  <si>
    <t>稀油站油泵</t>
  </si>
  <si>
    <t>Thin oil station pump</t>
  </si>
  <si>
    <t>YZ-63AHB</t>
  </si>
  <si>
    <t>MD01-08-02-02-03</t>
  </si>
  <si>
    <t>AUTOMATIC LUBRICATING DEVICE ,JAW CR 22K</t>
  </si>
  <si>
    <t>MD01-08-02-02-04</t>
  </si>
  <si>
    <t>机械密封</t>
  </si>
  <si>
    <t>MECHANICAL SEAL, 200ZJ-I-A60,22K</t>
  </si>
  <si>
    <t>MD01-08-02-02-05</t>
  </si>
  <si>
    <t>动锥球体</t>
  </si>
  <si>
    <t>MOVING CONE SPHERE ,HP100</t>
  </si>
  <si>
    <t>MD01-08-02-03-01</t>
  </si>
  <si>
    <t>VALVE, BALL, 3/4</t>
  </si>
  <si>
    <t>MD01-08-02-03-02</t>
  </si>
  <si>
    <t>MOTOR, ELECTRIC 30KW, 2 POLE, 690V, B3,</t>
  </si>
  <si>
    <t>MD01-08-02-03-03</t>
  </si>
  <si>
    <t>MOTOR,YPTQ560 4TH,1000KW,4P</t>
  </si>
  <si>
    <t>MD01-08-02-03-04</t>
  </si>
  <si>
    <t>STAINLESS STEEL PRESS GAUGE,THICKENER22K</t>
  </si>
  <si>
    <t>MD01-08-02-03-05</t>
  </si>
  <si>
    <t>无磁托辊</t>
  </si>
  <si>
    <t>Non-magnetic idler</t>
  </si>
  <si>
    <t>FCTG-14</t>
  </si>
  <si>
    <t>MD01-08-03-01-01</t>
  </si>
  <si>
    <t>FCTG-10</t>
  </si>
  <si>
    <t>MD01-08-03-01-02</t>
  </si>
  <si>
    <t>ALARM LIGHT QY25K 5C</t>
  </si>
  <si>
    <t>MD01-08-03-01-03</t>
  </si>
  <si>
    <t>浮球连杆组件</t>
  </si>
  <si>
    <t>float link assembly</t>
  </si>
  <si>
    <t>200MM尼龙浮球</t>
  </si>
  <si>
    <t>MD01-08-03-01-04</t>
  </si>
  <si>
    <t>MD01-08-03-02-01</t>
  </si>
  <si>
    <t>GAUGE VALVE, PN160 1/4 316L</t>
  </si>
  <si>
    <t>MD01-08-03-02-02</t>
  </si>
  <si>
    <t>SAMPLING VALVE, PN160 1/4  316L</t>
  </si>
  <si>
    <t>MD01-08-03-02-03</t>
  </si>
  <si>
    <t>过滤减压阀</t>
  </si>
  <si>
    <t>filter pressure reducing valve</t>
  </si>
  <si>
    <t>SMC</t>
  </si>
  <si>
    <t>MD01-08-03-02-04</t>
  </si>
  <si>
    <t>定位器</t>
  </si>
  <si>
    <t>positioner</t>
  </si>
  <si>
    <t>ABB521</t>
  </si>
  <si>
    <t>MD01-08-03-02-05</t>
  </si>
  <si>
    <t>UPPER BEARING SEAL RING  ,65LYJ-30, 22K</t>
  </si>
  <si>
    <t>MD01-08-03-03-01</t>
  </si>
  <si>
    <t>LOWER BEARING GLAND  ,65LYJ-30, 22K</t>
  </si>
  <si>
    <t>MD01-08-03-03-02</t>
  </si>
  <si>
    <t>DIAPHRAGM,COUPLING,PUMP,SCZ 250-500</t>
  </si>
  <si>
    <t>MD01-08-03-03-03</t>
  </si>
  <si>
    <t>DIAPHRAGM,COUPLING,PUMP,SCZ 200-400</t>
  </si>
  <si>
    <t>MD01-08-03-03-04</t>
  </si>
  <si>
    <t>LOWER BEARING ,65LYJ-30, 22K</t>
  </si>
  <si>
    <t>MD01-08-03-03-05</t>
  </si>
  <si>
    <t>KY75A</t>
  </si>
  <si>
    <t>MD01-08-04-01-01</t>
  </si>
  <si>
    <t>COUPLING,SCZ 250-500</t>
  </si>
  <si>
    <t>MD01-08-04-01-04</t>
  </si>
  <si>
    <t>PINCH VALVE SLEEVE ,SEPARATOR, 22K</t>
  </si>
  <si>
    <t>MD01-08-04-01-05</t>
  </si>
  <si>
    <t>加药泵</t>
  </si>
  <si>
    <t>Dosing pump,</t>
  </si>
  <si>
    <t>GMO05OPO1MNN</t>
  </si>
  <si>
    <t>MD01-08-04-02-01</t>
  </si>
  <si>
    <t>COUPLING ,65LYJ-30, 22K</t>
  </si>
  <si>
    <t>MD01-08-04-02-02</t>
  </si>
  <si>
    <t>卧式单级离心泵</t>
  </si>
  <si>
    <t>Horizontal single-stage centrifugal pump</t>
  </si>
  <si>
    <t>ZS100-80-160/11.0BSC</t>
  </si>
  <si>
    <t>MD01-08-04-02-03</t>
  </si>
  <si>
    <t>D27弹簧垫</t>
  </si>
  <si>
    <t>SPRING WASHER D27,SG001-01,CHIP SCRN 22K</t>
  </si>
  <si>
    <t>0000-SG001-01</t>
  </si>
  <si>
    <t>MD01-08-04-02-04</t>
  </si>
  <si>
    <t>SPRING WASHER D27,SG001-02,CHIP SCRN 22K</t>
  </si>
  <si>
    <t>0000-SG001-02</t>
  </si>
  <si>
    <t>MD01-08-04-02-05</t>
  </si>
  <si>
    <t>LOWER SHAFT SLEEVE ,65LYJ-30, 22K</t>
  </si>
  <si>
    <t>MD01-08-04-03-01</t>
  </si>
  <si>
    <t>UPPER BEARING ,65LYJ-30, 22K</t>
  </si>
  <si>
    <t>MD01-08-04-03-02</t>
  </si>
  <si>
    <t>MD01-08-04-03-03</t>
  </si>
  <si>
    <t>快速转换接头</t>
  </si>
  <si>
    <t>quick adapter</t>
  </si>
  <si>
    <t>φ8</t>
  </si>
  <si>
    <t>MD01-08-04-03-04</t>
  </si>
  <si>
    <t>OIL PUMP COUPLING ,THICKENER 22K</t>
  </si>
  <si>
    <t>MD01-08-04-03-05</t>
  </si>
  <si>
    <t>HOSE , HOSE PUMP 22K, KY75A</t>
  </si>
  <si>
    <t>MD01-08-05-01-01</t>
  </si>
  <si>
    <t>IMPELLER ,50D-B40,22K</t>
  </si>
  <si>
    <t>MD01-08-05-01-02</t>
  </si>
  <si>
    <t>KNIFE GATE VALVE, SZ73Y-10PL DN150</t>
  </si>
  <si>
    <t>MD01-08-05-01-03</t>
  </si>
  <si>
    <t>STRAINER ,65LYJ-30, 22K</t>
  </si>
  <si>
    <t>MD01-08-05-01-04</t>
  </si>
  <si>
    <t>2m³抓斗滑轮片</t>
  </si>
  <si>
    <t>Block</t>
  </si>
  <si>
    <t>MD01-08-05-01-05</t>
  </si>
  <si>
    <t>PJ,KNIFE GATE VALVE,PZ43FX-10C DN150</t>
  </si>
  <si>
    <t>MD01-08-05-02-01</t>
  </si>
  <si>
    <t>SEAL,MECHANICAL,FOR 100ZG-500</t>
  </si>
  <si>
    <t>MD01-08-05-02-02</t>
  </si>
  <si>
    <t>MMS1-209</t>
  </si>
  <si>
    <t>MD01-08-05-02-03</t>
  </si>
  <si>
    <t>VALVE, BALL SIZE:  50MM</t>
  </si>
  <si>
    <t>MD01-08-05-02-04</t>
  </si>
  <si>
    <t>喷水嘴</t>
  </si>
  <si>
    <t>WATER NOZZLE</t>
  </si>
  <si>
    <t>6分</t>
  </si>
  <si>
    <t>MD01-08-05-02-05</t>
  </si>
  <si>
    <t>填料压盖</t>
  </si>
  <si>
    <t>PACKING GLAND,50D-B40,22K</t>
  </si>
  <si>
    <t>MD01-08-05-03-01</t>
  </si>
  <si>
    <t>轴套</t>
  </si>
  <si>
    <t>SHAFT SLEEVE,50D-B40,22K</t>
  </si>
  <si>
    <t>MD01-08-05-03-02</t>
  </si>
  <si>
    <t>1/2RH 旋转接头</t>
  </si>
  <si>
    <t>ROTARY JOINT,1</t>
  </si>
  <si>
    <t>145461AA</t>
  </si>
  <si>
    <t>MD01-08-05-03-03</t>
  </si>
  <si>
    <t>HEX HEAD BOLTS, FLAT WASHERS, NUTS</t>
  </si>
  <si>
    <t>MD01-08-05-03-04</t>
  </si>
  <si>
    <t>MMS1-210</t>
  </si>
  <si>
    <t>MD01-08-05-03-05</t>
  </si>
  <si>
    <t>副叶轮</t>
  </si>
  <si>
    <t>AUXILIARY IMPELLER,50D-B40,22K</t>
  </si>
  <si>
    <t>MD01-08-06-02-01</t>
  </si>
  <si>
    <t>耐磨填料箱</t>
  </si>
  <si>
    <t>WEAR-RESISTANT STUFFING BOX,50D-B40,22K</t>
  </si>
  <si>
    <t>MD01-08-06-02-02</t>
  </si>
  <si>
    <t>上推力轴承</t>
  </si>
  <si>
    <t>UPPER THRUST BEARING ,HP100</t>
  </si>
  <si>
    <t>MD01-08-06-02-03</t>
  </si>
  <si>
    <t>FRAME PLATE LINER INSERT CR28,65LYJ-30</t>
  </si>
  <si>
    <t>MD01-08-06-02-04</t>
  </si>
  <si>
    <t>IMPERLLER CR28 ,65LYJ-30, 22K</t>
  </si>
  <si>
    <t>MD01-08-06-02-05</t>
  </si>
  <si>
    <t>90° elbow!316L!DN50</t>
  </si>
  <si>
    <t>MD01-08-06-03-01</t>
  </si>
  <si>
    <t>ELBOW, PIPE 1-1/2", 316SS, SCH40,</t>
  </si>
  <si>
    <t>MD01-08-06-03-02</t>
  </si>
  <si>
    <t>楔块-左</t>
  </si>
  <si>
    <t>WEDGE BLOCK-LEFT, 04, CHIP SCREEN 22K</t>
  </si>
  <si>
    <t>0000-WD003-04</t>
  </si>
  <si>
    <t>MD01-08-06-03-03</t>
  </si>
  <si>
    <t>拆卸环</t>
  </si>
  <si>
    <t>DISMANTLING RING,50D-B40,22K</t>
  </si>
  <si>
    <t>MD01-08-06-03-04</t>
  </si>
  <si>
    <t>水封环</t>
  </si>
  <si>
    <t>LANTERN RESTRICTOR,50D-B40,22K</t>
  </si>
  <si>
    <t>MD01-08-06-03-05</t>
  </si>
  <si>
    <t>副轴皮带轮</t>
  </si>
  <si>
    <t>BELT PULY-COUNTERSHAFT,06CHIP SCREEN 22K</t>
  </si>
  <si>
    <t>0000-SPB355-06</t>
  </si>
  <si>
    <t>MD01-09-01-01-05</t>
  </si>
  <si>
    <t>QUARTZ TUBE WATER LEVEL GAUGE  PN4.0</t>
  </si>
  <si>
    <t>MD01-09-01-02-01</t>
  </si>
  <si>
    <t>MD01-09-01-02-02</t>
  </si>
  <si>
    <t>楔架</t>
  </si>
  <si>
    <t>WEDGE, INTMD, CHIP SCREEN 22K</t>
  </si>
  <si>
    <t>0000-WB004-03-1</t>
  </si>
  <si>
    <t>MD01-09-01-02-03</t>
  </si>
  <si>
    <t>BRAKE PADS,CRANE,QZ10T-28.5,10T</t>
  </si>
  <si>
    <t>MD01-09-01-02-05</t>
  </si>
  <si>
    <t>锥套-电机端</t>
  </si>
  <si>
    <t>TAPERLOCK BUSH-MOTOR, 65,CHIP SCREEN 22K</t>
  </si>
  <si>
    <t>0000-TS3020-65</t>
  </si>
  <si>
    <t>MD01-09-01-03-01</t>
  </si>
  <si>
    <t>锥套-副轴端</t>
  </si>
  <si>
    <t>TPRLK BUSH-COUNTERSHFT,075,CHIP SCRN22K</t>
  </si>
  <si>
    <t>0000-TS3535-075</t>
  </si>
  <si>
    <t>MD01-09-01-03-02</t>
  </si>
  <si>
    <t>TPRLOCK BUSH-COUNTERSHFT,75,CHIP SCRN22K</t>
  </si>
  <si>
    <t>电机皮带轮</t>
  </si>
  <si>
    <t>BELT PULLY-MOTOR ,06, CHIP SCREEN 22K</t>
  </si>
  <si>
    <t>0000-SPB200-06</t>
  </si>
  <si>
    <t>MD01-09-01-03-03</t>
  </si>
  <si>
    <t>MECHANICAL SEAL, SCZ 250-501 ,22K</t>
  </si>
  <si>
    <t>MD01-09-01-03-04</t>
  </si>
  <si>
    <t>TAPERLOCK BUSH-MOTOR, 60,CHIP SCREEN 22K</t>
  </si>
  <si>
    <t>MD01-09-01-03-05</t>
  </si>
  <si>
    <t>初级清洁剂</t>
  </si>
  <si>
    <t>CLEANER</t>
  </si>
  <si>
    <t>HPC05</t>
  </si>
  <si>
    <t>MD01-09-02-01-01</t>
  </si>
  <si>
    <t>链轮齿段
TEETH SPROCKET SEGMENTS D4E ZAAPFCU!268644</t>
  </si>
  <si>
    <t>ZAAPFCU268644</t>
  </si>
  <si>
    <t>TEETH SPROCKET SEGMENTS D4E</t>
  </si>
  <si>
    <t>MD01-09-02-01-02</t>
  </si>
  <si>
    <t>传动链条</t>
  </si>
  <si>
    <t>Drive chain</t>
  </si>
  <si>
    <t>4064x81.3x48.74</t>
  </si>
  <si>
    <t>MD01-09-02-01-03</t>
  </si>
  <si>
    <t>SIEVE VIBRATION ISOLATION SPRING</t>
  </si>
  <si>
    <t>MD01-09-02-02-01</t>
  </si>
  <si>
    <t>FINE SULFUR PUMP IMPELLER</t>
  </si>
  <si>
    <t>MD01-09-02-02-02</t>
  </si>
  <si>
    <t>螺栓</t>
  </si>
  <si>
    <t>HEAD BOLT HP100 ,HP100</t>
  </si>
  <si>
    <t>MM1366658</t>
  </si>
  <si>
    <t>MD01-09-02-02-03</t>
  </si>
  <si>
    <t>MD01-09-02-02-04</t>
  </si>
  <si>
    <t>MMS1-250</t>
  </si>
  <si>
    <t>BEARING , SCZ 250-505 ,22K</t>
  </si>
  <si>
    <t>MD01-09-02-02-05</t>
  </si>
  <si>
    <t>BELT PULLY-MOTOR ,04, CHIP SCREEN 22K</t>
  </si>
  <si>
    <t>0000-SPB200-04</t>
  </si>
  <si>
    <t>MD01-09-02-03-01</t>
  </si>
  <si>
    <t>WEDGE, WB004-03, CHIP SCREEN 22K</t>
  </si>
  <si>
    <t>0000-WB004-03</t>
  </si>
  <si>
    <t>MD01-09-02-03-02</t>
  </si>
  <si>
    <t>CYLINDER 020,SSH 32 HEAD</t>
  </si>
  <si>
    <t>MD01-09-02-03-03</t>
  </si>
  <si>
    <t>MOTOR COOLING FAN,FREQ CONVER,42W,380V</t>
  </si>
  <si>
    <t>MD01-09-02-03-04</t>
  </si>
  <si>
    <t>MD01-09-02-03-05</t>
  </si>
  <si>
    <t>MMS1-211</t>
  </si>
  <si>
    <t>MD01-09-03-01-01</t>
  </si>
  <si>
    <t>DRY SUCTION TROUGH PUMP IMPELLER</t>
  </si>
  <si>
    <t>MD01-09-03-01-02</t>
  </si>
  <si>
    <t>FILTER PUMP IMPELLER</t>
  </si>
  <si>
    <t>MD01-09-03-01-03</t>
  </si>
  <si>
    <t>盲板</t>
  </si>
  <si>
    <t>Blind plate</t>
  </si>
  <si>
    <t>聚氨酯 3070直线筛</t>
  </si>
  <si>
    <t>MD01-09-03-01-04</t>
  </si>
  <si>
    <t>BEARING,22232cck/w33</t>
  </si>
  <si>
    <t>MD01-09-03-02-01</t>
  </si>
  <si>
    <t>轴承</t>
  </si>
  <si>
    <t>BEARING,PUMP,525,30314-A</t>
  </si>
  <si>
    <t>MD01-09-03-02-02</t>
  </si>
  <si>
    <t>FLANGE, DN400 PN10 316L RF</t>
  </si>
  <si>
    <t>MD01-09-03-02-03</t>
  </si>
  <si>
    <t>ACID TROUGH PUMP IMPELLER</t>
  </si>
  <si>
    <t>MD01-09-03-02-04</t>
  </si>
  <si>
    <t>FINISHED ACID PUMP IMPELLER</t>
  </si>
  <si>
    <t>MD01-09-03-02-05</t>
  </si>
  <si>
    <t>ImpellerEndASY!65FUH-30-30-28-CO-7.5KW!C</t>
  </si>
  <si>
    <t>MD01-09-03-03-01</t>
  </si>
  <si>
    <t>Shaft Sleeve!65FUH-30-30-28-CO-7.5KW!CP</t>
  </si>
  <si>
    <t>MD01-09-03-03-02</t>
  </si>
  <si>
    <t>MMS1-212/213</t>
  </si>
  <si>
    <t>SKF BEARING 7222, SKF BEARING NU211</t>
  </si>
  <si>
    <t>MD01-09-03-03-04</t>
  </si>
  <si>
    <t>2EA,2EA</t>
  </si>
  <si>
    <t>MMS1-243</t>
  </si>
  <si>
    <t>MD01-09-03-03-05</t>
  </si>
  <si>
    <t>MMS1-244</t>
  </si>
  <si>
    <t>出料端轨道角钢 L=1825</t>
  </si>
  <si>
    <t>STEEL ANGLE-DISCH END-1825,CHIP SCRN 22K</t>
  </si>
  <si>
    <t>S078-DR096-01</t>
  </si>
  <si>
    <t>MD01-09-04-01-04</t>
  </si>
  <si>
    <t>VALVE,WAFER TYPE BUTTERFLY,DN100 CF3M</t>
  </si>
  <si>
    <t>MD01-09-04-02-01</t>
  </si>
  <si>
    <t>高速联轴器</t>
  </si>
  <si>
    <t>HIGH SPEED SHAFT COUPING</t>
  </si>
  <si>
    <t>LX4(STGGJ21)</t>
  </si>
  <si>
    <t>MD01-09-04-02-02</t>
  </si>
  <si>
    <t>FLANGE,S/S,SLIP-ON,80MM</t>
  </si>
  <si>
    <t>MD01-09-04-02-03</t>
  </si>
  <si>
    <t>INTERMEDIATE GROOVE PUMP IMPELLER</t>
  </si>
  <si>
    <t>MD01-09-04-02-04</t>
  </si>
  <si>
    <t>FLANGE,PIPE,316L,DN80  PN10BOLT+NUT+GASK</t>
  </si>
  <si>
    <t>MD01-09-04-02-05</t>
  </si>
  <si>
    <t>Cylindrical roller bearing!NU1024ML-C3!S</t>
  </si>
  <si>
    <t>MD01-09-04-03-01</t>
  </si>
  <si>
    <t>Deep Groove Ball Bearing!6307!SKF</t>
  </si>
  <si>
    <t>Deep Groove Ball Bearing!6406!SKF</t>
  </si>
  <si>
    <t>MD01-09-04-03-02</t>
  </si>
  <si>
    <t>Deep groove ball bearing!6224!C3!SKF</t>
  </si>
  <si>
    <t>Z1606013001001调心滚子轴承!22212E!SKF</t>
  </si>
  <si>
    <t>MD01-09-04-03-03</t>
  </si>
  <si>
    <t>Cylindrical roller bearing!NU2316-ECP!SK</t>
  </si>
  <si>
    <t>DEEP GROOVE BALL BEARING!6213-C3!SKF</t>
  </si>
  <si>
    <t>MD01-09-04-03-04</t>
  </si>
  <si>
    <t>FLANGE, DN200 PN10 316L RF</t>
  </si>
  <si>
    <t>MD01-09-04-03-05</t>
  </si>
  <si>
    <t>轴承
BEARING ZAAPFCU!268643</t>
  </si>
  <si>
    <t>ZAAPFCU268643</t>
  </si>
  <si>
    <t>BEARING 23156CCK/W33</t>
  </si>
  <si>
    <t>MD01-09-05-01-02</t>
  </si>
  <si>
    <t>D51HEVC1600摩擦组件</t>
  </si>
  <si>
    <t>PNEUMA FRICTION COMPONENT</t>
  </si>
  <si>
    <t>146237LHE</t>
  </si>
  <si>
    <t>MD01-09-05-01-04</t>
  </si>
  <si>
    <t>D60VC1600 摩擦组件</t>
  </si>
  <si>
    <t>146237M</t>
  </si>
  <si>
    <t>MD01-09-05-01-05</t>
  </si>
  <si>
    <t>AGITATOR, SLURRY TANK</t>
  </si>
  <si>
    <t>MD01-09-05-02-01</t>
  </si>
  <si>
    <t>FLANGE,PL,DN400 PN16 316L RF</t>
  </si>
  <si>
    <t>MD01-09-05-02-02</t>
  </si>
  <si>
    <t>油塞M16</t>
  </si>
  <si>
    <t>DRAIN PLUG M16,CHIP SCREEN 22K</t>
  </si>
  <si>
    <t>JZX-900-16</t>
  </si>
  <si>
    <t>MD01-09-05-02-03</t>
  </si>
  <si>
    <t>BOLT,SPROCKET,C/W NUT 001/056</t>
  </si>
  <si>
    <t>PUMP IMPELLER</t>
  </si>
  <si>
    <t>MD01-09-05-02-04</t>
  </si>
  <si>
    <t>压辊轴承</t>
  </si>
  <si>
    <t>PRESSURE ROLLER BEARING</t>
  </si>
  <si>
    <t>MD01-09-05-02-05</t>
  </si>
  <si>
    <t>THRUST BALL BEARING!51213!SKF</t>
  </si>
  <si>
    <t>MD01-09-05-03-01</t>
  </si>
  <si>
    <t>DEEP_GROOVE_BALL_BEARING!6217-C3</t>
  </si>
  <si>
    <t>MMS1-240</t>
  </si>
  <si>
    <t>7310BELBM</t>
  </si>
  <si>
    <t>MD01-09-05-03-02</t>
  </si>
  <si>
    <t>AG Contact Ball Bearing!7316BECBM!SKF</t>
  </si>
  <si>
    <t>MD01-09-05-03-03</t>
  </si>
  <si>
    <t>Cylindrical roller bearing!NU214ECM!SKF</t>
  </si>
  <si>
    <t>Cylindrical roller bearing!NUP317-ECJ!SK</t>
  </si>
  <si>
    <t>MD01-09-05-03-04</t>
  </si>
  <si>
    <t>Z1606012001001角接触球轴承!7312BECBM!SKF</t>
  </si>
  <si>
    <t>ANGULAR CONTACT BALL BEARING!7318-BECBM!</t>
  </si>
  <si>
    <t>MD01-09-05-03-05</t>
  </si>
  <si>
    <t>BOLTS 14X70</t>
  </si>
  <si>
    <t>MD01-09-06-01-02</t>
  </si>
  <si>
    <t>MMS1-235</t>
  </si>
  <si>
    <t>侧压板-L=200*40-1525</t>
  </si>
  <si>
    <t>SIDE PR PLATE L=200*40-1525,CHIP SCRN22K</t>
  </si>
  <si>
    <t>S067-SC078-06</t>
  </si>
  <si>
    <t>MD01-09-06-01-03</t>
  </si>
  <si>
    <t>侧压板-L=300*40-1525</t>
  </si>
  <si>
    <t>SD CLMP PLATE-L=300*40-1525,CHIP SCRN22K</t>
  </si>
  <si>
    <t>S078-SC092-03</t>
  </si>
  <si>
    <t>MD01-09-06-01-04</t>
  </si>
  <si>
    <t>MMS1-214</t>
  </si>
  <si>
    <t>HUCK BOLTS</t>
  </si>
  <si>
    <t>MD01-09-06-01-05</t>
  </si>
  <si>
    <t>MD01-09-06-02-01</t>
  </si>
  <si>
    <t>主轴承</t>
  </si>
  <si>
    <t>MAIN BEARING</t>
  </si>
  <si>
    <t>MD01-09-06-02-02</t>
  </si>
  <si>
    <t>MD01-09-06-02-03</t>
  </si>
  <si>
    <t>侧导辊</t>
  </si>
  <si>
    <t>SIDE GUIDE ROLLER</t>
  </si>
  <si>
    <t>MD01-09-06-02-04</t>
  </si>
  <si>
    <t>MD01-09-06-02-05</t>
  </si>
  <si>
    <t>BEARING 30224</t>
  </si>
  <si>
    <t>MD01-09-06-03-01</t>
  </si>
  <si>
    <t>柱销弹性套（聚氨酯）!12*24*6</t>
  </si>
  <si>
    <t>MD01-09-06-03-02</t>
  </si>
  <si>
    <t>柱销弹性套（聚氨酯）!20*40*10</t>
  </si>
  <si>
    <t>柱销弹性套（聚氨酯）!18*35*9</t>
  </si>
  <si>
    <t>MD01-09-06-03-03</t>
  </si>
  <si>
    <t>MMS1-237</t>
  </si>
  <si>
    <t>14*27</t>
  </si>
  <si>
    <t>MMS1-215</t>
  </si>
  <si>
    <t>BOLTS</t>
  </si>
  <si>
    <t>MD01-09-06-03-05</t>
  </si>
  <si>
    <t>SQUARE STEEL ,HP100</t>
  </si>
  <si>
    <t>MD01-10-03-01-01</t>
  </si>
  <si>
    <t>GLOBE VALVE, J41Y-10RL DN100</t>
  </si>
  <si>
    <t>MD01-10-03-01-04</t>
  </si>
  <si>
    <t>HELMET, WELDING, FLIP FRONT</t>
  </si>
  <si>
    <t>MD01-10-03-02-01</t>
  </si>
  <si>
    <t>SCREW, HEX HEAD M12X50</t>
  </si>
  <si>
    <t>MD01-10-03-02-04</t>
  </si>
  <si>
    <t>MMS1-216</t>
  </si>
  <si>
    <t>BOLTS M 12</t>
  </si>
  <si>
    <t>MMS1-217</t>
  </si>
  <si>
    <t>MMS1-218</t>
  </si>
  <si>
    <t>WASHERS M12</t>
  </si>
  <si>
    <t>MMS1-219</t>
  </si>
  <si>
    <t>WASHERS M12 LARGE</t>
  </si>
  <si>
    <t>MMS1-220</t>
  </si>
  <si>
    <t>BOLTS M12X80</t>
  </si>
  <si>
    <t>SWITCH, PRESSURE, CONTROLLER ASSY</t>
  </si>
  <si>
    <t>旋流器沉砂嘴</t>
  </si>
  <si>
    <t>HYDROCYCONE,FX710-GX-S2</t>
  </si>
  <si>
    <t>FX710-GX-S2，Ф140</t>
  </si>
  <si>
    <t>MD01-10-03-02-05</t>
  </si>
  <si>
    <t>FILTER,AIR SMALL ,M315 COMPRESSOR,10K</t>
  </si>
  <si>
    <t>MD01-10-03-03-01</t>
  </si>
  <si>
    <t>MMS1-221</t>
  </si>
  <si>
    <t>MD01-10-03-03-02</t>
  </si>
  <si>
    <t>40691248支座</t>
  </si>
  <si>
    <t>BEARING, DRIVE AND TAIL PULLEY,</t>
  </si>
  <si>
    <t>22232CCK+H3132</t>
  </si>
  <si>
    <t>MD01-10-03-03-03</t>
  </si>
  <si>
    <t>空分</t>
  </si>
  <si>
    <t>Air Distributor</t>
  </si>
  <si>
    <t>K30</t>
  </si>
  <si>
    <t>MD01-10-03-03-04</t>
  </si>
  <si>
    <t>X30</t>
  </si>
  <si>
    <t>MD01-10-03-03-05</t>
  </si>
  <si>
    <t>ELECTRIC BALL VALVE, Q941F-150LB-CF3M 2</t>
  </si>
  <si>
    <t>MD01-10-04-01-02</t>
  </si>
  <si>
    <t>二氧化硫检测预处理箱</t>
  </si>
  <si>
    <t>Sulfur dioxide detection pretreatment box</t>
  </si>
  <si>
    <t>FX6000-SO2</t>
  </si>
  <si>
    <t>MD01-10-04-01-03</t>
  </si>
  <si>
    <t>STEEL ANGLE-FEED END ,CHIP SCREEN 22K</t>
  </si>
  <si>
    <t>MD01-10-04-01-05</t>
  </si>
  <si>
    <t>MD01-10-04-02-02</t>
  </si>
  <si>
    <t>MD01-10-04-02-03</t>
  </si>
  <si>
    <t>KY65A</t>
  </si>
  <si>
    <t>MD01-10-04-02-04</t>
  </si>
  <si>
    <t>BEARING 6328-M-C3</t>
  </si>
  <si>
    <t>MD01-10-04-02-05</t>
  </si>
  <si>
    <t>MD01-10-04-03-01</t>
  </si>
  <si>
    <t>FLANGE, 1150LB 316L</t>
  </si>
  <si>
    <t>MD01-10-04-03-04</t>
  </si>
  <si>
    <t>SCREW SHAFT HEAD AND TAIL BEARING</t>
  </si>
  <si>
    <t>MD01-10-04-03-05</t>
  </si>
  <si>
    <t>SCREW,COUNTERSUNK,M14X70,10.9 STRENGTH</t>
  </si>
  <si>
    <t>MD01-10-05-01-01</t>
  </si>
  <si>
    <t>MMS1-222</t>
  </si>
  <si>
    <t>WASHERS M 12</t>
  </si>
  <si>
    <t>MD01-10-05-01-02</t>
  </si>
  <si>
    <t>MMS1-223</t>
  </si>
  <si>
    <t>WASHERS M14</t>
  </si>
  <si>
    <t>MMS1-224</t>
  </si>
  <si>
    <t>BOLTS        M16</t>
  </si>
  <si>
    <t>压辊</t>
  </si>
  <si>
    <t>PRESSURE ROLLER</t>
  </si>
  <si>
    <t>MD01-10-05-01-03</t>
  </si>
  <si>
    <t>MD01-10-05-01-04</t>
  </si>
  <si>
    <t>BOLT, HEX HEAD ISO4014-M16X100-8.8-A3A</t>
  </si>
  <si>
    <t>MD01-10-05-01-05</t>
  </si>
  <si>
    <t>SCREW, HEX HEAD ISO4017-M16X60-8.8-A3A</t>
  </si>
  <si>
    <t>压力滚子轴承</t>
  </si>
  <si>
    <t>ROLLER BEARING</t>
  </si>
  <si>
    <t>MD01-10-05-02-01</t>
  </si>
  <si>
    <t>出料端轨道角钢-1520</t>
  </si>
  <si>
    <t>STEEL ANGLE-DISCH END-1520,CHIP SCRN 22K</t>
  </si>
  <si>
    <t>S078-DR095-01</t>
  </si>
  <si>
    <t>MD01-10-05-02-02</t>
  </si>
  <si>
    <t>入料端轨道角钢-1510</t>
  </si>
  <si>
    <t>STEEL ANGLE-FEED END-1510,CHIP SCREEN22K</t>
  </si>
  <si>
    <t>S078-DR095-03</t>
  </si>
  <si>
    <t>MD01-10-05-02-03</t>
  </si>
  <si>
    <t>BEARING,6316</t>
  </si>
  <si>
    <t>MD01-10-05-02-04</t>
  </si>
  <si>
    <t>BEARING TRICANTER GROOVED BALL, 6222 MA</t>
  </si>
  <si>
    <t>MD01-10-05-02-05</t>
  </si>
  <si>
    <t>MMS1-225</t>
  </si>
  <si>
    <t>BOLTS M14</t>
  </si>
  <si>
    <t>SEAL,OIL,GJF004100 410X460X25,SAG+BALL10</t>
  </si>
  <si>
    <t>MD01-10-05-03-01</t>
  </si>
  <si>
    <t>FILTER,OIL,M315 COMPRESSOR,10K</t>
  </si>
  <si>
    <t>MD01-10-05-03-02</t>
  </si>
  <si>
    <t>Oil filter element!Screw AC!WD13145!XL</t>
  </si>
  <si>
    <t>MD01-10-05-03-03</t>
  </si>
  <si>
    <t>MECHANICAL SEALS 80mm JCS1R</t>
  </si>
  <si>
    <t>MD01-10-05-03-04</t>
  </si>
  <si>
    <t>MMS1-226</t>
  </si>
  <si>
    <t xml:space="preserve">MECHANICAL SEALS </t>
  </si>
  <si>
    <t>MD01-10-05-03-05</t>
  </si>
  <si>
    <t>边后衬板</t>
  </si>
  <si>
    <t>REAR PANEL,S078-BL016-02,CHIP SCREEN 22K</t>
  </si>
  <si>
    <t>S078-BL016-02</t>
  </si>
  <si>
    <t>MD01-10-06-01-01</t>
  </si>
  <si>
    <t>后衬板</t>
  </si>
  <si>
    <t>REAR PANEL,S078-BL016-01,CHIP SCREEN 22K</t>
  </si>
  <si>
    <t>S078-BL016-01</t>
  </si>
  <si>
    <t>MD01-10-06-01-02</t>
  </si>
  <si>
    <t>侧压板-1525x200x40</t>
  </si>
  <si>
    <t>SIDE CLMP PLATE-1525X200X40,CHIP SCRN22K</t>
  </si>
  <si>
    <t>S078-SC090-01</t>
  </si>
  <si>
    <t>MD01-10-06-01-03</t>
  </si>
  <si>
    <t>侧压板-L=200*40-1220</t>
  </si>
  <si>
    <t>SIDE PR PLATE L=200*40-1220,CHIP SCRN22K</t>
  </si>
  <si>
    <t>S067-SC078-05</t>
  </si>
  <si>
    <t>MD01-10-06-01-04</t>
  </si>
  <si>
    <t>侧压板-L=300*40-1220</t>
  </si>
  <si>
    <t>SD CLMP PLATE L=300*40-1220,CHIP SCRN22K</t>
  </si>
  <si>
    <t>S078-SC092-02</t>
  </si>
  <si>
    <t>MD01-10-06-01-05</t>
  </si>
  <si>
    <t>BEARING NU319C3</t>
  </si>
  <si>
    <t>MD01-10-06-02-01</t>
  </si>
  <si>
    <t>MMS1-227</t>
  </si>
  <si>
    <t>Z1606009001001深沟球轴承!6328M/C3!SKF</t>
  </si>
  <si>
    <t>MD01-10-06-02-02</t>
  </si>
  <si>
    <t>MMS1-228</t>
  </si>
  <si>
    <t>BEARINGS 6228/C3</t>
  </si>
  <si>
    <t>BEARINGS</t>
  </si>
  <si>
    <t>MD01-10-06-02-03</t>
  </si>
  <si>
    <t>MMS1-229</t>
  </si>
  <si>
    <t>MD01-10-06-02-04</t>
  </si>
  <si>
    <t>MMS1-230</t>
  </si>
  <si>
    <t>LARGE</t>
  </si>
  <si>
    <t>MD01-10-06-02-05</t>
  </si>
  <si>
    <t>MMS1-231</t>
  </si>
  <si>
    <t>SMALL</t>
  </si>
  <si>
    <t>柱销弹性套（聚氨酯）!14*27*7</t>
  </si>
  <si>
    <t>MD01-10-06-03-01</t>
  </si>
  <si>
    <t>MMS1-238</t>
  </si>
  <si>
    <t>24*45</t>
  </si>
  <si>
    <t>MMS1-232</t>
  </si>
  <si>
    <t>MD01-10-06-03-02</t>
  </si>
  <si>
    <t>MMS1-233</t>
  </si>
  <si>
    <t>BOLTS M 14</t>
  </si>
  <si>
    <t>MD01-10-06-03-03</t>
  </si>
  <si>
    <t>BOLT,HIGH PRESS,M12×80,35CRMOA,W/ NUT</t>
  </si>
  <si>
    <t>MD01-10-06-03-04</t>
  </si>
  <si>
    <t>RING,ELASTIC,COUPLING,28*56*15,PU</t>
  </si>
  <si>
    <t>MD01-10-06-03-05</t>
  </si>
  <si>
    <t>MMS1-239</t>
  </si>
  <si>
    <t>10*20*5</t>
  </si>
  <si>
    <t>No</t>
  </si>
  <si>
    <t>BIN LOC</t>
  </si>
  <si>
    <t>MATERIAL</t>
  </si>
  <si>
    <t>Name of Goods</t>
  </si>
  <si>
    <t>Unit price (USD)</t>
  </si>
  <si>
    <t>Amount (USD)</t>
  </si>
  <si>
    <t>UoM</t>
  </si>
  <si>
    <t>B2</t>
  </si>
  <si>
    <t>BURNING TORCH</t>
  </si>
  <si>
    <t xml:space="preserve">WHITE PAINTS </t>
  </si>
  <si>
    <t>THINNER &amp; MIX</t>
  </si>
  <si>
    <t>MMS1-253</t>
  </si>
  <si>
    <t>OIL SEPARATOR, 54509427</t>
  </si>
  <si>
    <t>FILTER,AIR,M110 COMPRESSOR,10K</t>
  </si>
  <si>
    <t>PTFE Thread Seal Tape! 1 cm × 20 m</t>
  </si>
  <si>
    <t>PVCBOARD,2000×1000×2MM</t>
  </si>
  <si>
    <t>MMS1-458</t>
  </si>
  <si>
    <t>AIR CLEANER</t>
  </si>
  <si>
    <t>MMS1-459</t>
  </si>
  <si>
    <t>MMS1-460</t>
  </si>
  <si>
    <t>60KG</t>
  </si>
  <si>
    <t>B2-01-01-01</t>
  </si>
  <si>
    <t>CROWBAR, 36 INCH</t>
  </si>
  <si>
    <t>撬棍，36英寸</t>
  </si>
  <si>
    <t>B2-01-01-02</t>
  </si>
  <si>
    <t>CROWBAR, 30 INCH</t>
  </si>
  <si>
    <t>撬棍，30英寸</t>
  </si>
  <si>
    <t>B2-01-01-03</t>
  </si>
  <si>
    <t>PAINT, ENAMEL SUPER UNIVERSAL,  BLACK</t>
  </si>
  <si>
    <t>超级通用搪瓷漆，黑色</t>
  </si>
  <si>
    <t>YELLOW</t>
  </si>
  <si>
    <t>B2-01-01-04</t>
  </si>
  <si>
    <t>PJ,90 DEGREE ELBOW!DN200 #219.1 6 SS304</t>
  </si>
  <si>
    <t>PJ，90度弯头！DN200 #219.1 6 SS304</t>
  </si>
  <si>
    <t>B2-01-01-05</t>
  </si>
  <si>
    <t>CROWBAR,35X25X13CM,STEEL</t>
  </si>
  <si>
    <t>B2-01-01-06</t>
  </si>
  <si>
    <t>COUPLING,SUBMERGED PUMP,6UY-25-28-2000</t>
  </si>
  <si>
    <t>联轴器，潜水泵，6UY-25-28-2000</t>
  </si>
  <si>
    <t>B2-01-01-07</t>
  </si>
  <si>
    <t>AXES, 90CM,1.6KG</t>
  </si>
  <si>
    <t>B2-01-01-08</t>
  </si>
  <si>
    <t>SAFETY FILTER ELEMENT,40INCH*2.0MM</t>
  </si>
  <si>
    <t>安全滤芯，40英寸*2.0毫米</t>
  </si>
  <si>
    <t>B2-01-01-09</t>
  </si>
  <si>
    <t>LOW PRESSURE FILTER ELEMENT , SAG#75*43</t>
  </si>
  <si>
    <t>低压滤芯，SAG#75*43</t>
  </si>
  <si>
    <t>SD2600 R 020 BN/HC</t>
  </si>
  <si>
    <t>B2-01-01-10</t>
  </si>
  <si>
    <t>B2-01-01-11</t>
  </si>
  <si>
    <t>HP FILTER ELEMENT, BALL#58*95</t>
  </si>
  <si>
    <t>HP 滤芯，球#58*95</t>
  </si>
  <si>
    <t>SD0990 D 025 W/HC</t>
  </si>
  <si>
    <t>B2-01-01-12</t>
  </si>
  <si>
    <t>HIGH PRESSURE FILTER, SAG#75*43</t>
  </si>
  <si>
    <t>高压过滤器，SAG#75*43</t>
  </si>
  <si>
    <t>SD0660 D 025 W/HC</t>
  </si>
  <si>
    <t>B2-01-01-13</t>
  </si>
  <si>
    <t>FILTER ELEMENT,SD0240R010BN/HC</t>
  </si>
  <si>
    <t>滤芯,SD0240R010BN/HC</t>
  </si>
  <si>
    <t>SD0240 R 010 BN/HC</t>
  </si>
  <si>
    <t>B2-01-01-14</t>
  </si>
  <si>
    <t>PTFE flange gasket, DN25-PN1.0MPa, Δ=5</t>
  </si>
  <si>
    <t>PTFE flange gasket, DN65-PN1.0MPa, Δ=5</t>
  </si>
  <si>
    <t>B2-01-01-15</t>
  </si>
  <si>
    <t>Feeler GA!0.02-1.00mm!300mm</t>
  </si>
  <si>
    <t>B2-01-01-16</t>
  </si>
  <si>
    <t>Paint Brush!2.5inch</t>
  </si>
  <si>
    <t>B2-01-01-17</t>
  </si>
  <si>
    <t>RNG slogging spanner!50mm</t>
  </si>
  <si>
    <t>RNG slogging spanner!41mm</t>
  </si>
  <si>
    <t>RNG slogging spanner!36mm</t>
  </si>
  <si>
    <t>MMS1-252</t>
  </si>
  <si>
    <t>30mm</t>
  </si>
  <si>
    <t>B2-01-01-18</t>
  </si>
  <si>
    <t>Weldinghelmet!632P!INCTRANSPlens633-04×1</t>
  </si>
  <si>
    <t>B2-01-01-19</t>
  </si>
  <si>
    <t>Steel tape measure! 5M</t>
  </si>
  <si>
    <t>B2-01-01-20</t>
  </si>
  <si>
    <t>Flathead Screwdriver! 8×250 mm! Standard</t>
  </si>
  <si>
    <t>B2-01-01-21</t>
  </si>
  <si>
    <t>B2-01-01-22</t>
  </si>
  <si>
    <t>Set!RW Kit!GW-321120!20 pcs!6-32 mm</t>
  </si>
  <si>
    <t>B2-01-01-23</t>
  </si>
  <si>
    <t>B2-01-01-24</t>
  </si>
  <si>
    <t>Grinding WH!200×25×32</t>
  </si>
  <si>
    <t>B2-01-01-25</t>
  </si>
  <si>
    <t>B2-01-01-26</t>
  </si>
  <si>
    <t>BW!50×55</t>
  </si>
  <si>
    <t>B2-01-01-27</t>
  </si>
  <si>
    <t>Set: Box-End Wrench Kit!YT-0398!6-32 mm</t>
  </si>
  <si>
    <t>B2-01-01-28</t>
  </si>
  <si>
    <t>Metal Cutting Discs!180×2.5×22 mm</t>
  </si>
  <si>
    <t>B2-01-01-30</t>
  </si>
  <si>
    <t>Roller Brush!HHT-RB04R!4inch</t>
  </si>
  <si>
    <t>B2-01-02-01</t>
  </si>
  <si>
    <t>SCREW TAP(METRIC), M12*1.75</t>
  </si>
  <si>
    <t>丝锥（公制），M12*1.75</t>
  </si>
  <si>
    <t>M12×1.75</t>
  </si>
  <si>
    <t>SCREW TAP(METRIC), M24*3</t>
  </si>
  <si>
    <t>丝锥（公制），M24*3</t>
  </si>
  <si>
    <t>M24</t>
  </si>
  <si>
    <t>SCREW TAP(METRIC), M20*2.5</t>
  </si>
  <si>
    <t>丝锥（公制），M20*2.5</t>
  </si>
  <si>
    <t>M20</t>
  </si>
  <si>
    <t>SCREW TAP(METRIC), M22*2.5</t>
  </si>
  <si>
    <t>丝锥（公制），M22*2.5</t>
  </si>
  <si>
    <t>M12</t>
  </si>
  <si>
    <t>TAPS (METRIC)#M14*2</t>
  </si>
  <si>
    <t>丝锥（公制）#M14*2</t>
  </si>
  <si>
    <t>M14</t>
  </si>
  <si>
    <t>B2-01-02-02</t>
  </si>
  <si>
    <t>MMS1-254</t>
  </si>
  <si>
    <t>Warehouse label paper</t>
  </si>
  <si>
    <t>仓库标签纸</t>
  </si>
  <si>
    <t>B2-01-02-03</t>
  </si>
  <si>
    <t>MOTOR COOLING FAN,FREQ CONVER,45W,690V</t>
  </si>
  <si>
    <t>电机冷却风扇，变频，45W，690V</t>
  </si>
  <si>
    <t>B2-01-02-04</t>
  </si>
  <si>
    <t>MMS1-0013</t>
  </si>
  <si>
    <t>Oil seal</t>
  </si>
  <si>
    <t>油封</t>
  </si>
  <si>
    <t>B2-01-02-05</t>
  </si>
  <si>
    <t>MMS1-0079</t>
  </si>
  <si>
    <t>Filter press check valve</t>
  </si>
  <si>
    <t>压滤机单向阀</t>
  </si>
  <si>
    <t>B2-01-02-06</t>
  </si>
  <si>
    <t>COUPLING ASSEMBLY</t>
  </si>
  <si>
    <t>联轴器组件</t>
  </si>
  <si>
    <t>B2-01-02-07</t>
  </si>
  <si>
    <t>80FUH-35-50/28</t>
  </si>
  <si>
    <t>IMPELLER</t>
  </si>
  <si>
    <t>PUMP BODY</t>
  </si>
  <si>
    <t>泵体</t>
  </si>
  <si>
    <t>MAIN SHAFT</t>
  </si>
  <si>
    <t>主轴</t>
  </si>
  <si>
    <t>B2-01-02-08</t>
  </si>
  <si>
    <t>CAP ASSEMBLY</t>
  </si>
  <si>
    <t>盖帽组件</t>
  </si>
  <si>
    <t>INTERFACE, COOLING WATER</t>
  </si>
  <si>
    <t>冷却水接口</t>
  </si>
  <si>
    <t>MOVING-RING</t>
  </si>
  <si>
    <t>动环</t>
  </si>
  <si>
    <t>SEAL ASSEMBLY</t>
  </si>
  <si>
    <t>密封组件</t>
  </si>
  <si>
    <t>ELASTIC BLOCK</t>
  </si>
  <si>
    <t>弹力积木</t>
  </si>
  <si>
    <t>STATIC-RING</t>
  </si>
  <si>
    <t>静环</t>
  </si>
  <si>
    <t>BEARING</t>
  </si>
  <si>
    <t>B2-01-02-09</t>
  </si>
  <si>
    <t>MMS1-0021</t>
  </si>
  <si>
    <t>COUPING ASSEMBLY</t>
  </si>
  <si>
    <t>摩擦片</t>
  </si>
  <si>
    <t>B2-01-02-10</t>
  </si>
  <si>
    <t>MMS1-0036</t>
  </si>
  <si>
    <t>Stud bolts</t>
  </si>
  <si>
    <t>双头螺栓</t>
  </si>
  <si>
    <t>M16*90</t>
  </si>
  <si>
    <t>B2-01-02-11</t>
  </si>
  <si>
    <t>MMS1-0089</t>
  </si>
  <si>
    <t>Pressure gauge through</t>
  </si>
  <si>
    <t>压力表支架</t>
  </si>
  <si>
    <t>PTFE flange gasket, DN50-PN1.0MPa, Δ=5</t>
  </si>
  <si>
    <t>B2-01-02-12</t>
  </si>
  <si>
    <t>Filter element</t>
  </si>
  <si>
    <t>滤芯</t>
  </si>
  <si>
    <t>QW-1610-0400</t>
  </si>
  <si>
    <t>B2-01-02-13</t>
  </si>
  <si>
    <t>CIRCULATING PUMP SEAL</t>
  </si>
  <si>
    <t>循环泵密封</t>
  </si>
  <si>
    <t>B2-01-02-14</t>
  </si>
  <si>
    <t>MMS1-0031</t>
  </si>
  <si>
    <t>Tubing sleeve</t>
  </si>
  <si>
    <t>油管套</t>
  </si>
  <si>
    <t>DN50</t>
  </si>
  <si>
    <t>MACHINE,COLD DRY,250KW AIR COMPRESSOR</t>
  </si>
  <si>
    <t>B2-01-02-15</t>
  </si>
  <si>
    <t>AIR FILTER,SPRAY LUBRICATE,SAG+BALL10K</t>
  </si>
  <si>
    <t>空气过滤器，喷雾润滑，SAG+BALL10K</t>
  </si>
  <si>
    <t>B2-01-02-16</t>
  </si>
  <si>
    <t>AIR FILTER,YH-30Z</t>
  </si>
  <si>
    <t>B2-01-02-17</t>
  </si>
  <si>
    <t>OIL SEPARATION,YH-30Z</t>
  </si>
  <si>
    <t>B2-01-02-18</t>
  </si>
  <si>
    <t>Belt Punch!BS529015 15 pcs 3–25 mm</t>
  </si>
  <si>
    <t>B2-01-02-19</t>
  </si>
  <si>
    <t>IMPELLER,SUBMERGED PUMP,6UY-25-28-2000</t>
  </si>
  <si>
    <t>叶轮，潜水泵，6UY-25-28-2000</t>
  </si>
  <si>
    <t>B2-01-02-20</t>
  </si>
  <si>
    <t>FILTER, CARTRIDGE FOR CONE CRUSHER</t>
  </si>
  <si>
    <t>圆锥破碎机过滤器、滤芯</t>
  </si>
  <si>
    <t>B2-01-02-21</t>
  </si>
  <si>
    <t>ELEMENT, OIL FILTER, 23424922</t>
  </si>
  <si>
    <t>滤芯，机油滤清器，23424922</t>
  </si>
  <si>
    <t>B2-01-02-22</t>
  </si>
  <si>
    <t>MMS1-256</t>
  </si>
  <si>
    <t>Spring assembly</t>
  </si>
  <si>
    <t>弹簧组件</t>
  </si>
  <si>
    <t>M25*50</t>
  </si>
  <si>
    <t>DBLT open-end WR!41×46</t>
  </si>
  <si>
    <t>B2-01-02-23</t>
  </si>
  <si>
    <t>MMS1-257</t>
  </si>
  <si>
    <t>M60*80</t>
  </si>
  <si>
    <t>木柄钢丝刷!290mm 6排</t>
  </si>
  <si>
    <t>B2-01-02-24</t>
  </si>
  <si>
    <t>MMS1-258</t>
  </si>
  <si>
    <t>14*250*20mm</t>
  </si>
  <si>
    <t>MMS1-259</t>
  </si>
  <si>
    <t>14*160mm</t>
  </si>
  <si>
    <t>B2-01-02-25</t>
  </si>
  <si>
    <t>Phillips Screwdriver! 8×250 mm! Standard</t>
  </si>
  <si>
    <t>B2-01-02-26</t>
  </si>
  <si>
    <t>B2-01-02-27</t>
  </si>
  <si>
    <t>Spirit level!75.00cm!91604A_30inch</t>
  </si>
  <si>
    <t>MMS1-260</t>
  </si>
  <si>
    <t>1/2"  21mm</t>
  </si>
  <si>
    <t>B2-01-02-28</t>
  </si>
  <si>
    <t>GUONGLU</t>
  </si>
  <si>
    <t>数显游标卡尺!150MM</t>
  </si>
  <si>
    <t>MMS1-261</t>
  </si>
  <si>
    <t>1"  24mm</t>
  </si>
  <si>
    <t>B2-01-02-29</t>
  </si>
  <si>
    <t>STLtape measure!3m</t>
  </si>
  <si>
    <t>B2-01-02-30</t>
  </si>
  <si>
    <t>Hexagon socket!1inch!32mm</t>
  </si>
  <si>
    <t>B2-01-03-01</t>
  </si>
  <si>
    <t>CHAIN FILTER WRENCH, 60-210MM</t>
  </si>
  <si>
    <t>链条滤清器扳手，60-210MM</t>
  </si>
  <si>
    <t>400mm</t>
  </si>
  <si>
    <t>B2-01-03-02</t>
  </si>
  <si>
    <t>BIT, DRILL 18 MM X 210/150 MM DRILL,</t>
  </si>
  <si>
    <t>钻头，钻头 18 毫米 X 210/150 毫米钻头，</t>
  </si>
  <si>
    <t>BIT, DRILL 6 MM X 160/100 MM DRILL, SDS</t>
  </si>
  <si>
    <t>钻头，钻头 6 毫米 x 160/100 毫米钻头，SDS</t>
  </si>
  <si>
    <t>BIT, DRILL 16 MM X 210/150 MM DRILL,</t>
  </si>
  <si>
    <t>钻头，钻头 16 毫米 X 210/150 毫米钻头，</t>
  </si>
  <si>
    <t>BIT, DRILL 6 MM X 110/50 MM DRILL, SDS</t>
  </si>
  <si>
    <t>钻头，钻头 6 毫米 x 110/50 毫米钻头，SDS</t>
  </si>
  <si>
    <t>BIT, DRILL 8 MM X 160/100 MM DRILL, SDS</t>
  </si>
  <si>
    <t>钻头，钻头 8 毫米 X 160/100 毫米钻头，SDS</t>
  </si>
  <si>
    <t>BIT, DRILL 8 MM X 210/150 MM DRILL, SDS</t>
  </si>
  <si>
    <t>钻头，钻头 8 毫米 X 210/150 毫米钻头，SDS</t>
  </si>
  <si>
    <t>B2-01-03-03</t>
  </si>
  <si>
    <t>BIT, DRILL 6 MM X 210/150 MM DRILL, SDS</t>
  </si>
  <si>
    <t>钻头，钻头 6 毫米 X 210/150 毫米钻头，SDS</t>
  </si>
  <si>
    <t>BIT, DRILL 16 MM X 160/100 MM DRILL,</t>
  </si>
  <si>
    <t>钻头，钻头 16 毫米 X 160/100 毫米钻头，</t>
  </si>
  <si>
    <t>BIT, DRILL SDS PLUS 10X210 X 150MM</t>
  </si>
  <si>
    <t>钻头，钻头 SDS PLUS 10X210 X 150MM</t>
  </si>
  <si>
    <t>B2-01-03-04</t>
  </si>
  <si>
    <t>UNIVERSAL PROTRACTOR, 0-360 DEGREE</t>
  </si>
  <si>
    <t>万能量角器，0-360度</t>
  </si>
  <si>
    <t>0-360°</t>
  </si>
  <si>
    <t>B2-01-03-05</t>
  </si>
  <si>
    <t>MMS1-0100</t>
  </si>
  <si>
    <t>Inside micrometer</t>
  </si>
  <si>
    <t>内径千分尺</t>
  </si>
  <si>
    <t>50-175mm</t>
  </si>
  <si>
    <t>MMS1-0101</t>
  </si>
  <si>
    <t>50-100mm</t>
  </si>
  <si>
    <t>B2-01-03-06</t>
  </si>
  <si>
    <t>MMS1-0102</t>
  </si>
  <si>
    <t>25-50mm</t>
  </si>
  <si>
    <t>B2-01-03-07</t>
  </si>
  <si>
    <t>SLEEVE,SHAFT,LOWER,SUBMERGED PUMP</t>
  </si>
  <si>
    <t>潜水泵下部轴套</t>
  </si>
  <si>
    <t>B2-01-03-08</t>
  </si>
  <si>
    <t>OIL FILTER ELEMENT, MM0232736</t>
  </si>
  <si>
    <t>机油滤清器滤芯，MM0232736</t>
  </si>
  <si>
    <t>B2-01-03-09</t>
  </si>
  <si>
    <t>ELEMENT, KF3 FILTER S3</t>
  </si>
  <si>
    <t>滤芯，KF3 过滤器 S3</t>
  </si>
  <si>
    <t>2659 5985 75</t>
  </si>
  <si>
    <t>MMS1-0103</t>
  </si>
  <si>
    <t>B2-01-03-10</t>
  </si>
  <si>
    <t>FILTER ELEMENT, AIR; A/C PRECLEANER</t>
  </si>
  <si>
    <t>空气滤清器滤芯；空调预滤器</t>
  </si>
  <si>
    <t>2659 8608 41</t>
  </si>
  <si>
    <t>MMS1-0104</t>
  </si>
  <si>
    <t>B2-01-03-11</t>
  </si>
  <si>
    <t>ELEMENT, OIL FILTER, 2658588649</t>
  </si>
  <si>
    <t>滤芯，机油滤清器，2658588649</t>
  </si>
  <si>
    <t>2658 5886 42</t>
  </si>
  <si>
    <t>MMS1-0105</t>
  </si>
  <si>
    <t>B2-01-03-12</t>
  </si>
  <si>
    <t>FUEL FILTER,DIESEL ENGINE,D65</t>
  </si>
  <si>
    <t>燃油滤清器，柴油发动机，D65</t>
  </si>
  <si>
    <t>6060 0080 45</t>
  </si>
  <si>
    <t>MMS1-0106</t>
  </si>
  <si>
    <t>B2-01-03-13</t>
  </si>
  <si>
    <t>MMS1-0107</t>
  </si>
  <si>
    <t>2657 6223 00</t>
  </si>
  <si>
    <t>B2-01-03-14</t>
  </si>
  <si>
    <t>FILTER, COOLANT, SERVICE, 2658599660</t>
  </si>
  <si>
    <t>过滤器，冷却液，维修，2658599660</t>
  </si>
  <si>
    <t>2658 5996 60</t>
  </si>
  <si>
    <t>MMS1-0108</t>
  </si>
  <si>
    <t>B2-01-03-15</t>
  </si>
  <si>
    <t>FILTER, ELEMENT, 2658456181</t>
  </si>
  <si>
    <t>过滤器，元件，2658456181</t>
  </si>
  <si>
    <t>2658 4561 81</t>
  </si>
  <si>
    <t>MMS1-0109</t>
  </si>
  <si>
    <t>B2-01-03-16</t>
  </si>
  <si>
    <t>BREATHER, 2650903236</t>
  </si>
  <si>
    <t>呼吸器，2650903236</t>
  </si>
  <si>
    <t>2650 9032 36</t>
  </si>
  <si>
    <t>MMS1-0110</t>
  </si>
  <si>
    <t>B2-01-03-17</t>
  </si>
  <si>
    <t>FILTER, SUCTION, LUBE PUMP</t>
  </si>
  <si>
    <t>过滤器、吸油器、润滑油泵</t>
  </si>
  <si>
    <t>2657 8017 30</t>
  </si>
  <si>
    <t>MMS1-0111</t>
  </si>
  <si>
    <t>B2-01-03-18</t>
  </si>
  <si>
    <t>FUEL FILTER,ELECTRICAL SYSTEM,D6</t>
  </si>
  <si>
    <t>燃油滤清器，电气系统，D6</t>
  </si>
  <si>
    <t>6060 0080 42</t>
  </si>
  <si>
    <t>MMS1-0112</t>
  </si>
  <si>
    <t>B2-01-03-19</t>
  </si>
  <si>
    <t>FILTER ELEMENT, LUBE SPIN ON</t>
  </si>
  <si>
    <t>滤芯，润滑旋装</t>
  </si>
  <si>
    <t>2652 2631 83</t>
  </si>
  <si>
    <t>MMS1-0113</t>
  </si>
  <si>
    <t>B2-01-03-20</t>
  </si>
  <si>
    <t>FILTER, FUEL ENGINE, 2657294829</t>
  </si>
  <si>
    <t>燃油发动机滤清器，2657294829</t>
  </si>
  <si>
    <t>5729 4829</t>
  </si>
  <si>
    <t>MMS1-0114</t>
  </si>
  <si>
    <t>B2-01-03-21</t>
  </si>
  <si>
    <t>OIL FILTER,DIESEL ENGINE,D65</t>
  </si>
  <si>
    <t>机油滤清器，柴油发动机，D65</t>
  </si>
  <si>
    <t>6060 0080 41</t>
  </si>
  <si>
    <t>MMS1-0115</t>
  </si>
  <si>
    <t>B2-01-03-22</t>
  </si>
  <si>
    <t>ELEMENT SAFETY, 2652146966</t>
  </si>
  <si>
    <t>元素安全，2652146966</t>
  </si>
  <si>
    <t>2652 1469 66</t>
  </si>
  <si>
    <t>MMS1-0116</t>
  </si>
  <si>
    <t>B2-01-03-23</t>
  </si>
  <si>
    <t>FILTER, AIR ELEMENT PRIMARY</t>
  </si>
  <si>
    <t>过滤器，初级空气滤芯</t>
  </si>
  <si>
    <t>2652 2520 61</t>
  </si>
  <si>
    <t>MMS1-0117</t>
  </si>
  <si>
    <t>B2-01-03-25</t>
  </si>
  <si>
    <t>TEMP SENSOR</t>
  </si>
  <si>
    <t>温度传感器</t>
  </si>
  <si>
    <t>B2-01-03-26</t>
  </si>
  <si>
    <t>FILTER,AIR,YH40Z-K255/134</t>
  </si>
  <si>
    <t>空滤</t>
  </si>
  <si>
    <t>YH40Z-255/134    Y05105</t>
  </si>
  <si>
    <t>B2-01-03-27</t>
  </si>
  <si>
    <t>SEPARATOR,OIL,YH40Z-2186</t>
  </si>
  <si>
    <t>油分</t>
  </si>
  <si>
    <t>YH40Z-2186  QW-1620-1060</t>
  </si>
  <si>
    <t>B2-01-03-28</t>
  </si>
  <si>
    <t>B2-01-03-29</t>
  </si>
  <si>
    <t>MMS1-262</t>
  </si>
  <si>
    <t>DIAL INDICATOR</t>
  </si>
  <si>
    <t>B2-01-03-30</t>
  </si>
  <si>
    <t>OctagonaLhammer!3P!Wooden HDL</t>
  </si>
  <si>
    <t>B2-02-01-03</t>
  </si>
  <si>
    <t>MMS1-0027</t>
  </si>
  <si>
    <t>BASKET FILET</t>
  </si>
  <si>
    <t>篮式过滤器</t>
  </si>
  <si>
    <t>DN80-159</t>
  </si>
  <si>
    <t>B2-02-01-04</t>
  </si>
  <si>
    <t>MMS1-0028</t>
  </si>
  <si>
    <t>DN50-133</t>
  </si>
  <si>
    <t>B2-02-01-05</t>
  </si>
  <si>
    <t>VALVE, BALL, 3", SS, T PORT, SERIES 290,</t>
  </si>
  <si>
    <t>阀门，球，3"，不锈钢，T 型端口，290 系列，</t>
  </si>
  <si>
    <t>B2-02-01-06</t>
  </si>
  <si>
    <t>B2-02-01-07</t>
  </si>
  <si>
    <t>SOFT CONNECTION DN125</t>
  </si>
  <si>
    <t>软连接 DN125</t>
  </si>
  <si>
    <t>DN125</t>
  </si>
  <si>
    <t>B2-02-01-08</t>
  </si>
  <si>
    <t>PTFE flange gasket! DN300-PN1.6MPa! δ=5</t>
  </si>
  <si>
    <t>B2-02-01-09</t>
  </si>
  <si>
    <t>PTFE flange gasket! DN350-PN1.6MPa! δ=5</t>
  </si>
  <si>
    <t>B2-02-01-10</t>
  </si>
  <si>
    <t>PTFE flange!DN125</t>
  </si>
  <si>
    <t>PTFE flange gasket, DN100-PN1.0MPa, δ=5</t>
  </si>
  <si>
    <t>B2-02-01-11</t>
  </si>
  <si>
    <t>PTFE flange gasket! DN250-PN1.6MPa! δ=5</t>
  </si>
  <si>
    <t>B2-02-01-12</t>
  </si>
  <si>
    <t>PTFE flange gasket, DN200-PN1.6MPa, δ=5</t>
  </si>
  <si>
    <t>B2-02-01-13/15</t>
  </si>
  <si>
    <t>ELECTIC MOTOR,3C-AHF&amp;4D-AHF</t>
  </si>
  <si>
    <t xml:space="preserve"> 前护套 3C-AHF&amp;4D-AHF</t>
  </si>
  <si>
    <t>B2-02-01-16/18</t>
  </si>
  <si>
    <t>GASKET,LEAN-RICH LIQUID EXCHANGER</t>
  </si>
  <si>
    <t>垫片，贫富液体交换器</t>
  </si>
  <si>
    <t>B2-02-01-19</t>
  </si>
  <si>
    <t>MMS1-435</t>
  </si>
  <si>
    <t>B2-02-01-20</t>
  </si>
  <si>
    <t>MMS1-436</t>
  </si>
  <si>
    <t>柱销弹性套（聚氨酯）!24*45*12</t>
  </si>
  <si>
    <t>B2-02-01-21</t>
  </si>
  <si>
    <t>PACKING, GLAND, 16MM X 8M, PH 0-14, ROLL</t>
  </si>
  <si>
    <t>填料，压盖，16毫米 X 8米，PH 0-14，卷</t>
  </si>
  <si>
    <t>B2-02-01-22</t>
  </si>
  <si>
    <t>其他!不锈钢切割片!107×1.2×16MM</t>
  </si>
  <si>
    <t>DDvernier caliper!200mm</t>
  </si>
  <si>
    <t>B2-02-01-23</t>
  </si>
  <si>
    <t>Sets!Dual-purposeWrench!GW-321123_6-32mm</t>
  </si>
  <si>
    <t>B2-02-01-24</t>
  </si>
  <si>
    <t>RNG slogging spanner!46mm</t>
  </si>
  <si>
    <t>B2-02-01-25</t>
  </si>
  <si>
    <t>DOUBLE-ENDED INFLEXIBLE WRENCH!46×50MM</t>
  </si>
  <si>
    <t>B2-02-01-26</t>
  </si>
  <si>
    <t>Cabinet-Power Supply!PS16002_300W!Hytera</t>
  </si>
  <si>
    <t>B2-02-01-27</t>
  </si>
  <si>
    <t>B2-02-01-28</t>
  </si>
  <si>
    <t>WMQC!DKJ35-50IMMFSB35~50mm²13mmPlug</t>
  </si>
  <si>
    <t>B2-02-01-29</t>
  </si>
  <si>
    <t>Octagonal hammer!607304_4P!steel handle</t>
  </si>
  <si>
    <t>B2-02-01-30</t>
  </si>
  <si>
    <t>Cutting disc!350mm!Resin</t>
  </si>
  <si>
    <t>B2-02-02-01</t>
  </si>
  <si>
    <t>BEARING, BALL UNMOUNTED, 6020ZZ</t>
  </si>
  <si>
    <t>MMS1-434</t>
  </si>
  <si>
    <t>SKF 62 /3 /C3</t>
  </si>
  <si>
    <t>B2-02-02-02</t>
  </si>
  <si>
    <t>MMS1-0050</t>
  </si>
  <si>
    <t>Ball valve wrench</t>
  </si>
  <si>
    <t>球阀阀门扳手</t>
  </si>
  <si>
    <t>DN-80</t>
  </si>
  <si>
    <t>MMS1-0053</t>
  </si>
  <si>
    <t>DN-25</t>
  </si>
  <si>
    <t>MMS1-0052</t>
  </si>
  <si>
    <t>DN-32</t>
  </si>
  <si>
    <t>MMS1-0037</t>
  </si>
  <si>
    <t>DN-40</t>
  </si>
  <si>
    <t>B2-02-02-03</t>
  </si>
  <si>
    <t>QUICK CONNECTOR;PC10-04-10MM;4'</t>
  </si>
  <si>
    <t>快速连接器；PC10-04-10MM；4'</t>
  </si>
  <si>
    <t>MMS1-263</t>
  </si>
  <si>
    <t>SKF 3202 ATN 9/C3</t>
  </si>
  <si>
    <t>B2-02-02-04</t>
  </si>
  <si>
    <t>MMS1-0004</t>
  </si>
  <si>
    <t>22218 CC/C3W33</t>
  </si>
  <si>
    <t>MMS1-0005</t>
  </si>
  <si>
    <t>MMS1-0006</t>
  </si>
  <si>
    <t>51213 CC/C3W33</t>
  </si>
  <si>
    <t>MMS1-0007</t>
  </si>
  <si>
    <t>B2-02-02-05</t>
  </si>
  <si>
    <t>BEARING 6312-2Z/C3</t>
  </si>
  <si>
    <t>轴承 6312-2Z/C3</t>
  </si>
  <si>
    <t>B2-02-02-06</t>
  </si>
  <si>
    <t>BEARING ,DUST REMOVER 22K</t>
  </si>
  <si>
    <t>轴承，除尘器 22K</t>
  </si>
  <si>
    <t>22316CA/W33</t>
  </si>
  <si>
    <t>B2-02-02-07</t>
  </si>
  <si>
    <t>螺旋轴头尾轴承</t>
  </si>
  <si>
    <t>MMS1-264</t>
  </si>
  <si>
    <t>6220RZ</t>
  </si>
  <si>
    <t>B2-02-02-08</t>
  </si>
  <si>
    <t>BUSHING SET,22K, XCF/KYF-30</t>
  </si>
  <si>
    <t>衬套组，22K，XCF/KYF-30</t>
  </si>
  <si>
    <t>MMS1-265</t>
  </si>
  <si>
    <t>6311E-RZ</t>
  </si>
  <si>
    <t>B2-02-02-09</t>
  </si>
  <si>
    <t>MMS1-0029</t>
  </si>
  <si>
    <t>sifter part</t>
  </si>
  <si>
    <t>MSO-B20-OP6</t>
  </si>
  <si>
    <t>B2-02-02-10</t>
  </si>
  <si>
    <t>GASKET,SS WOUND,PN40 DN20 JB/T81-2015</t>
  </si>
  <si>
    <t>垫圈，不锈钢缠绕，PN40 DN20 JB/T81-2015</t>
  </si>
  <si>
    <t>Stainless steel spiral wound gasket</t>
  </si>
  <si>
    <t>不锈钢缠绕垫</t>
  </si>
  <si>
    <t>PN40 DN15</t>
  </si>
  <si>
    <t>MMS1-266</t>
  </si>
  <si>
    <t>PN40 DN25</t>
  </si>
  <si>
    <t>MMS1-267</t>
  </si>
  <si>
    <t>PN40 DN65</t>
  </si>
  <si>
    <t>B2-02-02-11</t>
  </si>
  <si>
    <t>ROUND THREADING DIE (METRIC), M24</t>
  </si>
  <si>
    <t>圆形螺纹板牙（公制），M24</t>
  </si>
  <si>
    <t>ROUND THREADING DIE (METRIC), M20</t>
  </si>
  <si>
    <t>圆形螺纹板牙（公制），M20</t>
  </si>
  <si>
    <t>ROUND THREADING DIE (METRIC), M12</t>
  </si>
  <si>
    <t>圆形螺纹板牙（公制），M12</t>
  </si>
  <si>
    <t>ROUND THREADING DIE (METRIC), M14</t>
  </si>
  <si>
    <t>圆形螺纹板牙（公制），M14</t>
  </si>
  <si>
    <t>B2-02-02-12</t>
  </si>
  <si>
    <t>BOLT, HEX HEAD, M12 X 1.75 X 150MM,</t>
  </si>
  <si>
    <t>螺栓，六角头，M12 X 1.75 X 150MM，</t>
  </si>
  <si>
    <t>B2-02-02-13</t>
  </si>
  <si>
    <t>WASHER, PLASTIC PUR.90 SHORE</t>
  </si>
  <si>
    <t>塑料垫圈，硬度90 SHORE</t>
  </si>
  <si>
    <t>400.0736-001</t>
  </si>
  <si>
    <t>B2-02-02-14</t>
  </si>
  <si>
    <t>MMS1-268</t>
  </si>
  <si>
    <t>JACK 20 TONS</t>
  </si>
  <si>
    <t>B2-02-02-15</t>
  </si>
  <si>
    <t>B2-02-02-16</t>
  </si>
  <si>
    <t>MMS1-269</t>
  </si>
  <si>
    <t>YOTO</t>
  </si>
  <si>
    <t>MMS1-270</t>
  </si>
  <si>
    <t>1/2"</t>
  </si>
  <si>
    <t>B2-02-02-18</t>
  </si>
  <si>
    <t>HOSE,FUEL,G 3/8,SMARTROC D65</t>
  </si>
  <si>
    <t>软管，燃料，G 3/8，SMARTROC D65</t>
  </si>
  <si>
    <t>B2-02-02-19</t>
  </si>
  <si>
    <t>HOSE,FUEL,JCT,SMARTROC D65</t>
  </si>
  <si>
    <t>软管，燃料，JCT，SMARTROC D65</t>
  </si>
  <si>
    <t>B2-02-02-20</t>
  </si>
  <si>
    <t>MMS1-0143</t>
  </si>
  <si>
    <t>K-type sealing ring</t>
  </si>
  <si>
    <t>K型密封圈</t>
  </si>
  <si>
    <t>DN207</t>
  </si>
  <si>
    <t>B2-02-02-21</t>
  </si>
  <si>
    <t>SEAL O-RING,726*6,PUMP,150ZJ-71</t>
  </si>
  <si>
    <r>
      <rPr>
        <sz val="9"/>
        <color rgb="FF3C4043"/>
        <rFont val="微软雅黑"/>
        <charset val="134"/>
      </rPr>
      <t>密封</t>
    </r>
    <r>
      <rPr>
        <sz val="9"/>
        <color rgb="FF3C4043"/>
        <rFont val="Arial"/>
        <charset val="134"/>
      </rPr>
      <t>O</t>
    </r>
    <r>
      <rPr>
        <sz val="9"/>
        <color rgb="FF3C4043"/>
        <rFont val="微软雅黑"/>
        <charset val="134"/>
      </rPr>
      <t>型圈，</t>
    </r>
    <r>
      <rPr>
        <sz val="9"/>
        <color rgb="FF3C4043"/>
        <rFont val="Arial"/>
        <charset val="134"/>
      </rPr>
      <t>726*6</t>
    </r>
    <r>
      <rPr>
        <sz val="9"/>
        <color rgb="FF3C4043"/>
        <rFont val="微软雅黑"/>
        <charset val="134"/>
      </rPr>
      <t>，泵，</t>
    </r>
    <r>
      <rPr>
        <sz val="9"/>
        <color rgb="FF3C4043"/>
        <rFont val="Arial"/>
        <charset val="134"/>
      </rPr>
      <t>150ZJ-71</t>
    </r>
  </si>
  <si>
    <t>FILTER ELEMENT, COOLANT OIL, SPIN-ON,</t>
  </si>
  <si>
    <t>B2-02-02-22</t>
  </si>
  <si>
    <t>PIPE,40/20,JAW CRUSHER,CJ815</t>
  </si>
  <si>
    <t>管道，40/20，颚式破碎机，CJ815</t>
  </si>
  <si>
    <t>713.1817-001</t>
  </si>
  <si>
    <t>B2-02-02-23</t>
  </si>
  <si>
    <t>CLIP, HOSE, 3222318839</t>
  </si>
  <si>
    <t>夹子，软管，3222318839</t>
  </si>
  <si>
    <t>B2-02-02-24</t>
  </si>
  <si>
    <t>MMS1-271</t>
  </si>
  <si>
    <t>34mm  36mm</t>
  </si>
  <si>
    <t>B2-02-02-25</t>
  </si>
  <si>
    <t>B2-02-02-26</t>
  </si>
  <si>
    <t>B2-02-02-27</t>
  </si>
  <si>
    <t>MMS1-272</t>
  </si>
  <si>
    <t>12mm</t>
  </si>
  <si>
    <t>MMS1-273</t>
  </si>
  <si>
    <t>8mm</t>
  </si>
  <si>
    <t>MMS1-274</t>
  </si>
  <si>
    <t>D10*40*70</t>
  </si>
  <si>
    <t>MMS1-275</t>
  </si>
  <si>
    <t>G01-300</t>
  </si>
  <si>
    <t>1"</t>
  </si>
  <si>
    <t>B2-02-02-28</t>
  </si>
  <si>
    <t>ElectricDrillHandDrillJ1Z-BS01-13810W</t>
  </si>
  <si>
    <t>B2-02-02-29</t>
  </si>
  <si>
    <t>Tape measure!50m</t>
  </si>
  <si>
    <t>MMS1-276</t>
  </si>
  <si>
    <t>MEASURING TOP 30m</t>
  </si>
  <si>
    <t>B2-02-02-30</t>
  </si>
  <si>
    <t>MMS1-277</t>
  </si>
  <si>
    <t>MIG MAG TIG</t>
  </si>
  <si>
    <t>B2-02-03-01</t>
  </si>
  <si>
    <t>TAPE, INSULATING, 23 HV, 19MM X 9MM</t>
  </si>
  <si>
    <t>B2-02-03-02</t>
  </si>
  <si>
    <t>TAPE, MEASURING 10M X 25MM</t>
  </si>
  <si>
    <t>胶带，尺寸：10米 x 25毫米</t>
  </si>
  <si>
    <t>10M</t>
  </si>
  <si>
    <t>B2-02-03-03</t>
  </si>
  <si>
    <t>PAD,FRONT &amp; REAR COVER,RICH LIQUID PUMP</t>
  </si>
  <si>
    <t>B2-02-03-04</t>
  </si>
  <si>
    <t>LOCKNUT W/O INSERT, M16 X 2,</t>
  </si>
  <si>
    <t>不带嵌件的锁紧螺母，M16 X 2，</t>
  </si>
  <si>
    <t>M16</t>
  </si>
  <si>
    <t>MMS1-278</t>
  </si>
  <si>
    <t>Bolt</t>
  </si>
  <si>
    <t>B2-02-03-05</t>
  </si>
  <si>
    <t>MMS1-279</t>
  </si>
  <si>
    <t>NUT</t>
  </si>
  <si>
    <t>螺母</t>
  </si>
  <si>
    <t>M10</t>
  </si>
  <si>
    <t>B2-02-03-06</t>
  </si>
  <si>
    <t>MMS1-280</t>
  </si>
  <si>
    <t>M16*80</t>
  </si>
  <si>
    <t>MMS1-281</t>
  </si>
  <si>
    <t>M14*70</t>
  </si>
  <si>
    <t>B2-02-03-07</t>
  </si>
  <si>
    <t>ACCUMULATOR PUMP OVERFLOW VALVE,SAG#75*4</t>
  </si>
  <si>
    <t>蓄能泵溢流阀，SAG#75*4</t>
  </si>
  <si>
    <t>B2-02-03-08</t>
  </si>
  <si>
    <t>MMS1-014</t>
  </si>
  <si>
    <t>Signal line</t>
  </si>
  <si>
    <t>信号线</t>
  </si>
  <si>
    <t>5*0.34mm²</t>
  </si>
  <si>
    <t>B2-02-03-09</t>
  </si>
  <si>
    <t>PTFE flange gasket, DN150-PN1.6MPa, δ=5</t>
  </si>
  <si>
    <t>B2-02-03-10</t>
  </si>
  <si>
    <t>MMS1-282</t>
  </si>
  <si>
    <t>B2-02-03-11</t>
  </si>
  <si>
    <t>HYDRAULIC JACK, 10T</t>
  </si>
  <si>
    <t>B2-02-03-12</t>
  </si>
  <si>
    <t>Hexagon socket!one-half inch!36mm</t>
  </si>
  <si>
    <t>B2-02-03-13</t>
  </si>
  <si>
    <t>MMS1-283</t>
  </si>
  <si>
    <t>17mm</t>
  </si>
  <si>
    <t>MMS1-284</t>
  </si>
  <si>
    <t>B2-02-03-14</t>
  </si>
  <si>
    <t>Hexagon socket!one-half inch!14mm</t>
  </si>
  <si>
    <t>B2-02-03-15</t>
  </si>
  <si>
    <t>Hexagon socket!one-half inch!18mm</t>
  </si>
  <si>
    <t>B2-02-03-16</t>
  </si>
  <si>
    <t>Hex socket sleeve! length 46 mm! 1 inch</t>
  </si>
  <si>
    <t>B2-02-03-17</t>
  </si>
  <si>
    <t>B2-02-03-18</t>
  </si>
  <si>
    <t>RNG slogging spanner!34mm</t>
  </si>
  <si>
    <t>B2-02-03-19</t>
  </si>
  <si>
    <t>Hexagon socket!1inch!36mm</t>
  </si>
  <si>
    <t>B2-02-03-20</t>
  </si>
  <si>
    <t>SSTDB!16mm</t>
  </si>
  <si>
    <t>Hexagon socket!1inch!27mm</t>
  </si>
  <si>
    <t>B2-02-03-21</t>
  </si>
  <si>
    <t>Hexagon socket!one-half inch!19mm</t>
  </si>
  <si>
    <t>Hexagon socket!one-half inch!30mm</t>
  </si>
  <si>
    <t>B2-02-03-22</t>
  </si>
  <si>
    <t>Hexagon socket!1inch!75mm</t>
  </si>
  <si>
    <t>B2-02-03-23</t>
  </si>
  <si>
    <t>RNG slogging spanner!32mm</t>
  </si>
  <si>
    <t>B2-02-03-24</t>
  </si>
  <si>
    <t>Hexagon socket!1inch!24mm</t>
  </si>
  <si>
    <t>B2-02-03-25</t>
  </si>
  <si>
    <t>Hexagon socket!one-half inch!16mm</t>
  </si>
  <si>
    <t>Hexagon socket!one-half inch!24mm</t>
  </si>
  <si>
    <t>B2-02-03-26</t>
  </si>
  <si>
    <t>Hex Socket Sleeve! 55 mm! 1 inch</t>
  </si>
  <si>
    <t>B2-02-03-27</t>
  </si>
  <si>
    <t>Hexagon socket!1inch!41mm</t>
  </si>
  <si>
    <t>B2-02-03-28</t>
  </si>
  <si>
    <t>Hexagon socket!1inch!30mm</t>
  </si>
  <si>
    <t>B2-02-03-29</t>
  </si>
  <si>
    <t>Hexagon socket!one-half inch!32mm</t>
  </si>
  <si>
    <t>Hexagon socket!one-half inch!17mm</t>
  </si>
  <si>
    <t>B2-02-03-30</t>
  </si>
  <si>
    <t>DialIndicator!801-05-1class-Itype_0-50mm</t>
  </si>
  <si>
    <t>B2-03-01-01</t>
  </si>
  <si>
    <t>HOSE OXYGEN 8MM X 30M ROLL</t>
  </si>
  <si>
    <t>氧气软管 8毫米 x 30米 卷</t>
  </si>
  <si>
    <t>B2-03-01-02</t>
  </si>
  <si>
    <t>HOSE ACETYLENE 8MM X 30M ROLL</t>
  </si>
  <si>
    <t>乙炔软管 8MM x 30M 卷</t>
  </si>
  <si>
    <t>B2-03-01-03</t>
  </si>
  <si>
    <t>MMS1-285</t>
  </si>
  <si>
    <t>Pulley</t>
  </si>
  <si>
    <t>皮带轮</t>
  </si>
  <si>
    <t>B2-03-01-04</t>
  </si>
  <si>
    <t>框架板衬套插入件 CR28,65LYJ-30</t>
  </si>
  <si>
    <t>B2-03-01-05</t>
  </si>
  <si>
    <t>SOFT CONNECTION 50</t>
  </si>
  <si>
    <t>软连接 50</t>
  </si>
  <si>
    <t>B2-03-01-06</t>
  </si>
  <si>
    <t>SEALANT, 600ML, SIKAFLEX PRO-3</t>
  </si>
  <si>
    <t>B2-03-01-08</t>
  </si>
  <si>
    <t>MMS1-437</t>
  </si>
  <si>
    <t>B2-03-01-09</t>
  </si>
  <si>
    <t>NYLON RODΦ60*1000,10K-15 MTN</t>
  </si>
  <si>
    <t>B2-03-01-10</t>
  </si>
  <si>
    <t>NYLON RODΦ30*1000,10K-15 MTN</t>
  </si>
  <si>
    <t>B2-03-01-11</t>
  </si>
  <si>
    <t>TAPE, WARNING 500M X 0.15M, YELLOW &amp;</t>
  </si>
  <si>
    <t>B2-03-01-12</t>
  </si>
  <si>
    <t>MMS1-286</t>
  </si>
  <si>
    <t>Transparent tape</t>
  </si>
  <si>
    <t>透明胶带</t>
  </si>
  <si>
    <t>B2-03-01-13</t>
  </si>
  <si>
    <t>PIPE,OUTLET,FOR 100ZD-360</t>
  </si>
  <si>
    <t>100ZD-360 出口管</t>
  </si>
  <si>
    <t>B2-03-01-14</t>
  </si>
  <si>
    <t>PIPE,INLET,FOR 100ZD-360</t>
  </si>
  <si>
    <t>100ZD-360 入口管</t>
  </si>
  <si>
    <t>B2-03-01-15</t>
  </si>
  <si>
    <t>MMS1-438</t>
  </si>
  <si>
    <t>B2-03-02-01</t>
  </si>
  <si>
    <t>Pipe clamp!72-95MM!304</t>
  </si>
  <si>
    <t>MMS1-287</t>
  </si>
  <si>
    <t>B2-03-02-02</t>
  </si>
  <si>
    <t>MMS1-288</t>
  </si>
  <si>
    <t>B2-03-02-03</t>
  </si>
  <si>
    <t>HINGE FOR CORNER CABINETS!135°</t>
  </si>
  <si>
    <t>B2-03-02-04</t>
  </si>
  <si>
    <t>SEAL&amp;WASHER,450TU-MCR</t>
  </si>
  <si>
    <t>密封件和垫圈，450TU-MCR</t>
  </si>
  <si>
    <t>B2-03-02-05</t>
  </si>
  <si>
    <t>BEARING 30232</t>
  </si>
  <si>
    <t>轴承 30232</t>
  </si>
  <si>
    <t>B2-03-02-06</t>
  </si>
  <si>
    <t>MMS1-289</t>
  </si>
  <si>
    <t>SMART SENSOR</t>
  </si>
  <si>
    <t>B2-03-02-07</t>
  </si>
  <si>
    <t>B2-03-02-08</t>
  </si>
  <si>
    <t>MMS1-290</t>
  </si>
  <si>
    <t>Aligning ball bearing</t>
  </si>
  <si>
    <t>调心球轴承</t>
  </si>
  <si>
    <t>B2-03-02-09</t>
  </si>
  <si>
    <t>MMS1-291</t>
  </si>
  <si>
    <t>2216ATN</t>
  </si>
  <si>
    <t>B2-03-02-10</t>
  </si>
  <si>
    <t>MMS1-292</t>
  </si>
  <si>
    <t>2213ATN</t>
  </si>
  <si>
    <t>B2-03-02-11</t>
  </si>
  <si>
    <t>B2-03-02-13</t>
  </si>
  <si>
    <t>AR!250×500mm</t>
  </si>
  <si>
    <t>Ruler!300mm</t>
  </si>
  <si>
    <t>B2-03-02-14</t>
  </si>
  <si>
    <t>PUMP COVER 304 ,IS80-65, 22K</t>
  </si>
  <si>
    <t>泵盖 304 ,IS80-65, 22K</t>
  </si>
  <si>
    <t>B2-03-02-15</t>
  </si>
  <si>
    <t>DISMANTLING RING ,300ZJ-I-A50,22K</t>
  </si>
  <si>
    <t>拆卸环，300ZJ-I-A50，22K</t>
  </si>
  <si>
    <t>B2-03-02-16</t>
  </si>
  <si>
    <t>BEARING, AIR FAN</t>
  </si>
  <si>
    <t>风扇轴承</t>
  </si>
  <si>
    <t>B2-03-02-17</t>
  </si>
  <si>
    <t>锥形锁紧衬套-电机，60，芯片筛 22K</t>
  </si>
  <si>
    <t>B2-03-02-18</t>
  </si>
  <si>
    <t>BEARING,GUIDE,LOWER,SUBMERGED PUMP</t>
  </si>
  <si>
    <t>潜水泵下部导向轴承</t>
  </si>
  <si>
    <t>6309/C3</t>
  </si>
  <si>
    <t>B2-03-02-19</t>
  </si>
  <si>
    <t>BEARING,GUIDE,MIDDLE,SUBMERGED PUMP</t>
  </si>
  <si>
    <t>轴承，导向，中，潜水泵</t>
  </si>
  <si>
    <t>6309E</t>
  </si>
  <si>
    <t>B2-03-02-20</t>
  </si>
  <si>
    <t>ACETYLENE CUTTING MOUTH</t>
  </si>
  <si>
    <t>乙炔割嘴</t>
  </si>
  <si>
    <t>B2-03-02-21</t>
  </si>
  <si>
    <t>WIRE ROPE CLIP,#6</t>
  </si>
  <si>
    <t>钢丝绳夹，#6</t>
  </si>
  <si>
    <t>B2-03-02-22</t>
  </si>
  <si>
    <t>ELECTRIC WRENCH, GDF18V-400</t>
  </si>
  <si>
    <t>B2-03-02-23</t>
  </si>
  <si>
    <t>Bearing</t>
  </si>
  <si>
    <t>NJ316WC3</t>
  </si>
  <si>
    <t>B2-03-02-25</t>
  </si>
  <si>
    <t>MMS1-293</t>
  </si>
  <si>
    <t>1"     2"</t>
  </si>
  <si>
    <t>B2-03-02-26</t>
  </si>
  <si>
    <t>BEARING,6228C3</t>
  </si>
  <si>
    <t>B2-03-03-01</t>
  </si>
  <si>
    <t>MMS1-294</t>
  </si>
  <si>
    <t>Circuit breaker</t>
  </si>
  <si>
    <t>断路器</t>
  </si>
  <si>
    <t>1A 3P</t>
  </si>
  <si>
    <t>B2-03-03-02</t>
  </si>
  <si>
    <t>CABLE</t>
  </si>
  <si>
    <t>3A 3P</t>
  </si>
  <si>
    <t>MMS1-439</t>
  </si>
  <si>
    <t>B2-03-03-03</t>
  </si>
  <si>
    <t xml:space="preserve">50A 3P </t>
  </si>
  <si>
    <t>MMS1-440</t>
  </si>
  <si>
    <t>B2-03-03-04</t>
  </si>
  <si>
    <t>MMS1-295</t>
  </si>
  <si>
    <t>25A 2P</t>
  </si>
  <si>
    <t>B2-03-03-05</t>
  </si>
  <si>
    <t>MMS1-0087</t>
  </si>
  <si>
    <t>1P</t>
  </si>
  <si>
    <t>B2-03-03-06</t>
  </si>
  <si>
    <t>13MM  Circuit breaker</t>
  </si>
  <si>
    <t>40A 3P</t>
  </si>
  <si>
    <t>B2-03-03-07</t>
  </si>
  <si>
    <t>MMS1-296</t>
  </si>
  <si>
    <t>2A 2P</t>
  </si>
  <si>
    <t>B2-03-03-09</t>
  </si>
  <si>
    <t>MMS1-297</t>
  </si>
  <si>
    <t>3A 2P</t>
  </si>
  <si>
    <t>B2-03-03-10</t>
  </si>
  <si>
    <t>MMS1-298</t>
  </si>
  <si>
    <t>3A 1P</t>
  </si>
  <si>
    <t>B2-03-03-11</t>
  </si>
  <si>
    <t>25A 3P</t>
  </si>
  <si>
    <t>B2-03-03-12</t>
  </si>
  <si>
    <t>MMS1-299</t>
  </si>
  <si>
    <t>B2-03-03-13</t>
  </si>
  <si>
    <t>LIMIT SWITCH LX44-20</t>
  </si>
  <si>
    <t>限位开关 LX44-20</t>
  </si>
  <si>
    <t>380V 20A 7.5Kw</t>
  </si>
  <si>
    <t>B2-03-03-14</t>
  </si>
  <si>
    <t>MMS1-300</t>
  </si>
  <si>
    <t>RELAY CONTROL</t>
  </si>
  <si>
    <t>继电器控制</t>
  </si>
  <si>
    <t>AC:230V</t>
  </si>
  <si>
    <t>B2-03-03-15</t>
  </si>
  <si>
    <t>MMS1-301</t>
  </si>
  <si>
    <t>CONTACT BLOCK</t>
  </si>
  <si>
    <t>接触块</t>
  </si>
  <si>
    <t>AC:600V 10A</t>
  </si>
  <si>
    <t>B2-03-03-16</t>
  </si>
  <si>
    <t>PIPE 6 X 1- 3500 XZA220.42 PHI -112 PA11</t>
  </si>
  <si>
    <t>管道 6 x 1- 3500 XZA220.42 PHI -112 PA11</t>
  </si>
  <si>
    <t>B2-03-03-17</t>
  </si>
  <si>
    <t>MMS1-</t>
  </si>
  <si>
    <t>Welding flange</t>
  </si>
  <si>
    <t>焊接法兰</t>
  </si>
  <si>
    <t>DN65 PN25</t>
  </si>
  <si>
    <t>B2-03-03-18</t>
  </si>
  <si>
    <t>BEARING,SUBMERGED PUMP6UY-25-28-2000</t>
  </si>
  <si>
    <t>潜水泵轴承6UY-25-28-2000</t>
  </si>
  <si>
    <t>B2-03-03-19</t>
  </si>
  <si>
    <t>B2-03-03-20</t>
  </si>
  <si>
    <t>ISOLATOR,AI SIGNAL</t>
  </si>
  <si>
    <t>B2-03-03-21</t>
  </si>
  <si>
    <t>POWER SUPPLY,SWITCHING,24VDC480W</t>
  </si>
  <si>
    <t>B2-03-03-22</t>
  </si>
  <si>
    <t>ISOLATOR,AO SIGNAL</t>
  </si>
  <si>
    <t>B2-03-03-23</t>
  </si>
  <si>
    <t>POWER SUPPLY,SWITCHING,24VDC120W</t>
  </si>
  <si>
    <t>B2-03-03-24</t>
  </si>
  <si>
    <t>POWER SUPPLY,SWITCHING,24VDC240W</t>
  </si>
  <si>
    <t>B2-04-01-01</t>
  </si>
  <si>
    <t>TOWELS, SHOP</t>
  </si>
  <si>
    <t>吸油纸</t>
  </si>
  <si>
    <t>B2-04-01-02</t>
  </si>
  <si>
    <t>OVERMOLDED STEEL WIRE ROPE,#4</t>
  </si>
  <si>
    <t>包覆成型钢丝绳，#4</t>
  </si>
  <si>
    <t>B2-04-01-03</t>
  </si>
  <si>
    <t>3-PHS MOTOR 100L,B5,2.2KW,4P#3PH690V</t>
  </si>
  <si>
    <t>三相电机 100L,B5,2.2KW,4P#3PH690V</t>
  </si>
  <si>
    <t>B2-04-01-04</t>
  </si>
  <si>
    <t>MMS1-0121</t>
  </si>
  <si>
    <t>Elbow bolts</t>
  </si>
  <si>
    <t>弯头螺栓</t>
  </si>
  <si>
    <t>M20*300</t>
  </si>
  <si>
    <t>B2-04-01-05</t>
  </si>
  <si>
    <t>MMS1-0122</t>
  </si>
  <si>
    <t>M20*150</t>
  </si>
  <si>
    <t>B2-04-01-06</t>
  </si>
  <si>
    <t>MMS1-0123</t>
  </si>
  <si>
    <t xml:space="preserve">cycloidal reducer </t>
  </si>
  <si>
    <t>摆线针轮减速机</t>
  </si>
  <si>
    <t>XWD4-29-YVP1.1-M5</t>
  </si>
  <si>
    <t>B2-04-01-07</t>
  </si>
  <si>
    <t>PINION FILTER, SAG#75*43</t>
  </si>
  <si>
    <t>小齿轮过滤器，SAG#75*43</t>
  </si>
  <si>
    <t>B2-04-01-08</t>
  </si>
  <si>
    <t>HYDRAULIC OIL PIPE ,FILTER PRESS 22K</t>
  </si>
  <si>
    <t>液压油管，压滤机 22K</t>
  </si>
  <si>
    <t>B2-04-01-09</t>
  </si>
  <si>
    <t>hydraulic oil pipe</t>
  </si>
  <si>
    <t>液压油管</t>
  </si>
  <si>
    <t>A27X1.5</t>
  </si>
  <si>
    <t>B2-04-01-10</t>
  </si>
  <si>
    <t>SEAL,MECHANICAL,8/6-AH SLURRY PUMP</t>
  </si>
  <si>
    <t>密封，机械，8/6-AH 渣浆泵</t>
  </si>
  <si>
    <t>B2-04-01-11</t>
  </si>
  <si>
    <t>SEAL,MECH,FOR 100ZD-360</t>
  </si>
  <si>
    <t>机械密封，适用于 100ZD-360</t>
  </si>
  <si>
    <t>B2-04-01-12</t>
  </si>
  <si>
    <t>METER,FLOW,ELECTROMAGNETIC,55S65</t>
  </si>
  <si>
    <t>电磁流量计，55S65</t>
  </si>
  <si>
    <t>B2-04-01-13</t>
  </si>
  <si>
    <t>METER,FLOW,ELECTROMAGNETIC,55S1Z</t>
  </si>
  <si>
    <t>电磁流量计，55S1Z</t>
  </si>
  <si>
    <t>B2-04-01-14</t>
  </si>
  <si>
    <t>METER,FLOW,ELECTROMAGNETIC</t>
  </si>
  <si>
    <t>电磁流量计</t>
  </si>
  <si>
    <t>B2-04-01-16</t>
  </si>
  <si>
    <t>METER,FLOW,ELECTROMAGNETIC,55S50</t>
  </si>
  <si>
    <t>电磁流量计，55S50</t>
  </si>
  <si>
    <t>B2-04-01-19</t>
  </si>
  <si>
    <t>electric grinder!S1J-BS03-25</t>
  </si>
  <si>
    <t>B2-04-01-20</t>
  </si>
  <si>
    <t>Plastic Welding Torch!CL611401，700W</t>
  </si>
  <si>
    <t>B2-04-01-21</t>
  </si>
  <si>
    <t>管子钳!600MM(24英寸)</t>
  </si>
  <si>
    <t>B2-04-01-25</t>
  </si>
  <si>
    <t>MMS1-303</t>
  </si>
  <si>
    <t>B2-04-01-26
B2-04-02-26
B2-04-02-27</t>
  </si>
  <si>
    <t>MMS1-304</t>
  </si>
  <si>
    <t>Chain plate bolts</t>
  </si>
  <si>
    <t>链板螺栓</t>
  </si>
  <si>
    <t>B2-04-02-01</t>
  </si>
  <si>
    <t>MULTI STAGE REGULATOR</t>
  </si>
  <si>
    <t>多级调节器</t>
  </si>
  <si>
    <t>B2-04-02-02/03</t>
  </si>
  <si>
    <t>MMS1-305</t>
  </si>
  <si>
    <t>Acetylene meter</t>
  </si>
  <si>
    <t>乙炔表</t>
  </si>
  <si>
    <t>B2-04-02-04</t>
  </si>
  <si>
    <t>Alignment Instrument!AT200!ACOEM</t>
  </si>
  <si>
    <t>Pinces</t>
  </si>
  <si>
    <t>钳子</t>
  </si>
  <si>
    <t>W28204</t>
  </si>
  <si>
    <t>B2-04-02-05</t>
  </si>
  <si>
    <t>WIRE CUTTER PLIERS, 8INCH</t>
  </si>
  <si>
    <t>8英寸钢丝钳</t>
  </si>
  <si>
    <t>W28323</t>
  </si>
  <si>
    <t>B2-04-02-06</t>
  </si>
  <si>
    <t>HORIZONTAL RULER</t>
  </si>
  <si>
    <t>B2-04-02-07</t>
  </si>
  <si>
    <t>SPIRIT LEVEL!600.00CM</t>
  </si>
  <si>
    <t>B2-04-02-07/9</t>
  </si>
  <si>
    <t>WELDER, 3PH, 380V, 5-315AMP, TIG/MMA</t>
  </si>
  <si>
    <t>焊机，3PH，380V，5-315AMP，TIG/MMA</t>
  </si>
  <si>
    <t>B2-04-02-10</t>
  </si>
  <si>
    <t>MMS1-306</t>
  </si>
  <si>
    <t>Mechanical Seal</t>
  </si>
  <si>
    <t>AM7N-120-69-Q2BVFF    RCVH2G1</t>
  </si>
  <si>
    <t>B2-04-02-11</t>
  </si>
  <si>
    <t>T FAST CONNECTOR,#10,304</t>
  </si>
  <si>
    <t>T型快速连接器，#10,304</t>
  </si>
  <si>
    <t>B2-04-02-12</t>
  </si>
  <si>
    <t>Y FAST CONNECTOR,2012/10/10,304</t>
  </si>
  <si>
    <t>Y型快速连接器,2012/10/10,304</t>
  </si>
  <si>
    <t>B2-04-02-13</t>
  </si>
  <si>
    <t>L FAST CONNECTOR,3/8NPT*#10,304</t>
  </si>
  <si>
    <t>L型快速接头，3/8NPT*#10,304</t>
  </si>
  <si>
    <t>B2-04-02-14</t>
  </si>
  <si>
    <t>T FAST CONNECTOR,#8 ,304</t>
  </si>
  <si>
    <t>T型快速连接器，#8，304</t>
  </si>
  <si>
    <t>B2-04-02-15</t>
  </si>
  <si>
    <t>FAST CONNECTOR,1/4NPT*#10,304</t>
  </si>
  <si>
    <t>快速连接器，1/4NPT*#10,304</t>
  </si>
  <si>
    <t>B2-04-02-16</t>
  </si>
  <si>
    <t>FAST CONNECTOR,1/4NPT*#8,304</t>
  </si>
  <si>
    <t>快速连接器，1/4NPT*#8,304</t>
  </si>
  <si>
    <t>B2-04-02-17</t>
  </si>
  <si>
    <t>L FAST CONNECTOR,1/4NPT*#8,304</t>
  </si>
  <si>
    <t>L型快速接头，1/4NPT*#8,304</t>
  </si>
  <si>
    <t>B2-04-02-18</t>
  </si>
  <si>
    <t>FAST CONNECTOR,1/4NPT*#6,304</t>
  </si>
  <si>
    <t>快速连接器，1/4NPT*#6,304</t>
  </si>
  <si>
    <t>B2-04-02-19</t>
  </si>
  <si>
    <t>FAST CONNECTOR,3/8NPT*#10,304</t>
  </si>
  <si>
    <t>快速连接器，3/8NPT*#10,304</t>
  </si>
  <si>
    <t>B2-04-02-20</t>
  </si>
  <si>
    <t>FAST CONNECTOR,3/8NPT*#12,304</t>
  </si>
  <si>
    <t>快速连接器，3/8NPT*#12,304</t>
  </si>
  <si>
    <t>B2-04-02-21</t>
  </si>
  <si>
    <t>FAST CONNECTOR,1/2NPT*#12,304</t>
  </si>
  <si>
    <t>快速连接器，1/2NPT*#12,304</t>
  </si>
  <si>
    <t>B2-04-02-22</t>
  </si>
  <si>
    <t>MMS1-307</t>
  </si>
  <si>
    <t>Quick Connect Elbow</t>
  </si>
  <si>
    <t>快速连接弯头</t>
  </si>
  <si>
    <t>L16*3/4</t>
  </si>
  <si>
    <t>B2-04-02-23</t>
  </si>
  <si>
    <t>MMS1-308</t>
  </si>
  <si>
    <t>L25*3/4</t>
  </si>
  <si>
    <t>B2-04-02-24</t>
  </si>
  <si>
    <t>MMS1-309</t>
  </si>
  <si>
    <t>Tee</t>
  </si>
  <si>
    <t>三通</t>
  </si>
  <si>
    <t>DN14</t>
  </si>
  <si>
    <t>MMS1-310</t>
  </si>
  <si>
    <t>DN20</t>
  </si>
  <si>
    <t>MMS1-311</t>
  </si>
  <si>
    <t>Elbow</t>
  </si>
  <si>
    <t>弯头</t>
  </si>
  <si>
    <t>B2-04-02-25</t>
  </si>
  <si>
    <t>MMS1-312</t>
  </si>
  <si>
    <t>Belt buckle</t>
  </si>
  <si>
    <t>皮带扣</t>
  </si>
  <si>
    <t>B2-04-02-26</t>
  </si>
  <si>
    <t>MMS1-441</t>
  </si>
  <si>
    <t>NUTS</t>
  </si>
  <si>
    <t>B2-04-02-27</t>
  </si>
  <si>
    <t>MMS1-442</t>
  </si>
  <si>
    <t>RONDELLES</t>
  </si>
  <si>
    <t>B2-04-02-28</t>
  </si>
  <si>
    <t>螺栓，链轮，C/W螺母 001/056</t>
  </si>
  <si>
    <t>B2-04-02-29</t>
  </si>
  <si>
    <t>DRILL TAIL SCREW 3cm  LENGTH M5X32</t>
  </si>
  <si>
    <t>钻尾螺钉 3cm 长 M5X32</t>
  </si>
  <si>
    <t>MMS1-313</t>
  </si>
  <si>
    <t>2 BXS</t>
  </si>
  <si>
    <t>B2-04-02-30</t>
  </si>
  <si>
    <t>DRILL TAIL SCREW 5cm  LENGTH M5X50</t>
  </si>
  <si>
    <t>钻尾螺钉 5cm 长度 M5X50</t>
  </si>
  <si>
    <t>B2-04-03-01</t>
  </si>
  <si>
    <t>B2-04-03-02</t>
  </si>
  <si>
    <t>OPERATING HANDLE</t>
  </si>
  <si>
    <t>操作手柄</t>
  </si>
  <si>
    <t>B2-04-03-03</t>
  </si>
  <si>
    <t>PJ,PRESSURE PLATE BOLT</t>
  </si>
  <si>
    <t>PJ，压板螺栓</t>
  </si>
  <si>
    <t>B2-04-03-04</t>
  </si>
  <si>
    <t>MMS1-0057</t>
  </si>
  <si>
    <t>Resistance</t>
  </si>
  <si>
    <t>电阻</t>
  </si>
  <si>
    <t>RXH-600W-25Ω</t>
  </si>
  <si>
    <t>B2-04-03-05</t>
  </si>
  <si>
    <t>OPERATING HANDLE OHG95H9K</t>
  </si>
  <si>
    <t>操作手柄 OHG95H9K</t>
  </si>
  <si>
    <t>B2-04-03-06</t>
  </si>
  <si>
    <t>MMS1-314</t>
  </si>
  <si>
    <t>Voltage sensor</t>
  </si>
  <si>
    <t>电压传感器</t>
  </si>
  <si>
    <t>B2-04-03-07</t>
  </si>
  <si>
    <t>PLIERS, NEEDLE NOSE PLIER KLEIN D203-8</t>
  </si>
  <si>
    <t>B2-04-03-08</t>
  </si>
  <si>
    <t>Flashlight!LiRechargeable6-LD!SATA-90738</t>
  </si>
  <si>
    <t>B2-04-03-09</t>
  </si>
  <si>
    <t>Silicone sealant gun</t>
  </si>
  <si>
    <t>B2-04-03-11</t>
  </si>
  <si>
    <t>COMPASS!400MM;CHANGLU ALLOY</t>
  </si>
  <si>
    <t>B2-04-03-12</t>
  </si>
  <si>
    <t>Feeler GA!0.02-1.00mm!100mm</t>
  </si>
  <si>
    <t>Electronic outside micrometer!704A-01</t>
  </si>
  <si>
    <t>B2-04-03-13</t>
  </si>
  <si>
    <t>Allen WR!14mm</t>
  </si>
  <si>
    <t>Hex key wrench! 18 mm</t>
  </si>
  <si>
    <t>B2-04-03-15</t>
  </si>
  <si>
    <t>Laser Rangefinder!100MSATA-62713</t>
  </si>
  <si>
    <t>B2-04-03-16</t>
  </si>
  <si>
    <t>Hex key wrench! 16 mm</t>
  </si>
  <si>
    <t>B2-04-03-17</t>
  </si>
  <si>
    <t>dial indicator!0~3mm</t>
  </si>
  <si>
    <t>B2-04-03-18</t>
  </si>
  <si>
    <t>RULER!500.00MM</t>
  </si>
  <si>
    <t>AR!150×300mm</t>
  </si>
  <si>
    <t>B2-04-03-19</t>
  </si>
  <si>
    <t>Adjustable wrench! 300 mm (12 inches)</t>
  </si>
  <si>
    <t>B2-04-03-20</t>
  </si>
  <si>
    <t>B2-04-03-21</t>
  </si>
  <si>
    <t>Nylon grinding head!25×25×6mm</t>
  </si>
  <si>
    <t>B2-04-03-22</t>
  </si>
  <si>
    <t>Electric pick and chisel!25*350mm</t>
  </si>
  <si>
    <t>B2-04-03-23</t>
  </si>
  <si>
    <t>Allen WR!22mm</t>
  </si>
  <si>
    <t>B2-04-03-25</t>
  </si>
  <si>
    <t>Laser level!LM576LD-520NM</t>
  </si>
  <si>
    <t>B2-04-03-26</t>
  </si>
  <si>
    <t>Allen WR!24mm</t>
  </si>
  <si>
    <t>B2-04-03-27</t>
  </si>
  <si>
    <t>ANCHORS, NAIL-IN,  8X80, 100 P/PKT</t>
  </si>
  <si>
    <t>锚栓，钉入式，8X80，100个/包</t>
  </si>
  <si>
    <t>B2-04-03-28</t>
  </si>
  <si>
    <t>MMS1-315</t>
  </si>
  <si>
    <t>Nail</t>
  </si>
  <si>
    <t>钉子</t>
  </si>
  <si>
    <t>60mm</t>
  </si>
  <si>
    <t>B2-04-03-29/30</t>
  </si>
  <si>
    <t>SCREW, ROOFZIP, 12X50MM</t>
  </si>
  <si>
    <t>车顶拉链螺丝，12X50MM</t>
  </si>
  <si>
    <t>B2-05-01-01</t>
  </si>
  <si>
    <t>PENCIL SLATE#125*12*85MM</t>
  </si>
  <si>
    <t>铅笔板#125*12*85MM</t>
  </si>
  <si>
    <t>125×13×5mm</t>
  </si>
  <si>
    <t>B2-05-01-02</t>
  </si>
  <si>
    <t>HAND HACKSAW</t>
  </si>
  <si>
    <t>手钢锯</t>
  </si>
  <si>
    <t>200-300mm</t>
  </si>
  <si>
    <t>B2-05-01-03</t>
  </si>
  <si>
    <t>HACKSAW PROFESSIONAL 15-166</t>
  </si>
  <si>
    <t>专业钢锯 15-166</t>
  </si>
  <si>
    <t>B2-05-01-04</t>
  </si>
  <si>
    <t>WRENCH, OPEN PLUM BLOSSOM,41MM</t>
  </si>
  <si>
    <t>开口梅花扳手，41MM</t>
  </si>
  <si>
    <t>41mm</t>
  </si>
  <si>
    <t>B2-05-01-05</t>
  </si>
  <si>
    <t>WRENCH, RATCHET 34-36MM</t>
  </si>
  <si>
    <t>棘轮扳手 34-36MM</t>
  </si>
  <si>
    <t>36mm</t>
  </si>
  <si>
    <t>B2-05-01-06</t>
  </si>
  <si>
    <t>MMS1-316</t>
  </si>
  <si>
    <t>32mm</t>
  </si>
  <si>
    <t>B2-05-01-07</t>
  </si>
  <si>
    <t>WRENCH, OPEN PLUM BLOSSOM,36MM</t>
  </si>
  <si>
    <t>开口梅花扳手，36MM</t>
  </si>
  <si>
    <t>B2-05-01-08</t>
  </si>
  <si>
    <t>WRENCH, OPEN PLUM BLOSSOM,55MM</t>
  </si>
  <si>
    <t>开口梅花扳手，55MM</t>
  </si>
  <si>
    <t>55mm</t>
  </si>
  <si>
    <t>B2-05-01-09</t>
  </si>
  <si>
    <t>WRENCH, OPEN PLUM BLOSSOM,46MM</t>
  </si>
  <si>
    <t>开口梅花扳手，46MM</t>
  </si>
  <si>
    <t>46mm</t>
  </si>
  <si>
    <t>B2-05-01-10</t>
  </si>
  <si>
    <t>MMS1-317</t>
  </si>
  <si>
    <t>3T    3m</t>
  </si>
  <si>
    <t>B2-05-01-11</t>
  </si>
  <si>
    <t>MMS1-318</t>
  </si>
  <si>
    <t>450mm</t>
  </si>
  <si>
    <t>B2-05-01-12</t>
  </si>
  <si>
    <t>SLING ROUND, TE100X8M, ENDLESS</t>
  </si>
  <si>
    <t>B2-05-01-13/14</t>
  </si>
  <si>
    <t>CAMISOLE! 5T,4M</t>
  </si>
  <si>
    <t>B2-05-01-15</t>
  </si>
  <si>
    <t>焊条，焊接焊条，3.25 毫米</t>
  </si>
  <si>
    <t>B2-05-01-16/17</t>
  </si>
  <si>
    <t>CAMISOLE! 3T,4M</t>
  </si>
  <si>
    <t>B2-05-01-20</t>
  </si>
  <si>
    <t>ELECTRIC HAMMER</t>
  </si>
  <si>
    <t>B2-05-02-01</t>
  </si>
  <si>
    <t>WRENCH, RATCHET 28-30MM</t>
  </si>
  <si>
    <t>棘轮扳手 28-30MM</t>
  </si>
  <si>
    <t>28mm</t>
  </si>
  <si>
    <t>B2-05-02-02</t>
  </si>
  <si>
    <t>TORCH, CUTTING</t>
  </si>
  <si>
    <t>割炬，切割</t>
  </si>
  <si>
    <t>B2-05-02-03</t>
  </si>
  <si>
    <t>WRENCH, RATCHET 30-32MM</t>
  </si>
  <si>
    <t>棘轮扳手 30-32MM</t>
  </si>
  <si>
    <t>B2-05-02-04</t>
  </si>
  <si>
    <t>WRENCH, OPEN END  6-36MM</t>
  </si>
  <si>
    <t>开口扳手 6-36MM</t>
  </si>
  <si>
    <t>B2-05-02-05</t>
  </si>
  <si>
    <t>MMS1-319</t>
  </si>
  <si>
    <t>15" Wrench</t>
  </si>
  <si>
    <t>15英寸扳手</t>
  </si>
  <si>
    <t>B2-05-02-06</t>
  </si>
  <si>
    <t>WRENCH, RATCHET 24-26MM</t>
  </si>
  <si>
    <t>棘轮扳手 24-26MM</t>
  </si>
  <si>
    <t>27mm</t>
  </si>
  <si>
    <t>B2-05-02-07</t>
  </si>
  <si>
    <t>ADJUSTABLE WRENCH, 8 ""</t>
  </si>
  <si>
    <t>可调扳手，8英寸</t>
  </si>
  <si>
    <t>200mm</t>
  </si>
  <si>
    <t>B2-05-02-08</t>
  </si>
  <si>
    <t>WRENCHES SET,6-36MM</t>
  </si>
  <si>
    <t>扳手套装，6-36MM</t>
  </si>
  <si>
    <t>B2-05-02-09</t>
  </si>
  <si>
    <t>ALLEN KEY,SET OF 9 G-SERIES EXTRA LONG B</t>
  </si>
  <si>
    <t>内六角扳手，9 件套 G 系列加长 B</t>
  </si>
  <si>
    <t>B2-05-02-10</t>
  </si>
  <si>
    <t>STEEL RULER, 0-50CM</t>
  </si>
  <si>
    <t>钢尺，0-50厘米</t>
  </si>
  <si>
    <t>50cm</t>
  </si>
  <si>
    <t>B2-05-02-11</t>
  </si>
  <si>
    <t>BLADE, UTILITY DL-DP30 SK4</t>
  </si>
  <si>
    <t>多功能刀片 DL-DP30 SK4</t>
  </si>
  <si>
    <t>100×18mm</t>
  </si>
  <si>
    <t>B2-05-02-12</t>
  </si>
  <si>
    <t>WASHER, 3222324222</t>
  </si>
  <si>
    <t>垫圈，3222324222</t>
  </si>
  <si>
    <t>B2-05-02-13</t>
  </si>
  <si>
    <t>MMS1-320</t>
  </si>
  <si>
    <t xml:space="preserve">SATA 1/2"  SOCKET SET </t>
  </si>
  <si>
    <t>B2-05-02-14</t>
  </si>
  <si>
    <t>MMS1-443</t>
  </si>
  <si>
    <t>B2-05-02-15</t>
  </si>
  <si>
    <t>STEEL RULER, 0-100CM</t>
  </si>
  <si>
    <t>钢尺，0-100厘米</t>
  </si>
  <si>
    <t>100cm</t>
  </si>
  <si>
    <t>B2-05-02-16</t>
  </si>
  <si>
    <t>Hand tap, metric fine thread, M3×0.5</t>
  </si>
  <si>
    <t>手用丝锥，公制细螺纹，M3×0.5</t>
  </si>
  <si>
    <t>B2-05-02-17</t>
  </si>
  <si>
    <t>Electric riveting machine!DCPM50-E#</t>
  </si>
  <si>
    <t>电动铆钉机！DCPM50-E#</t>
  </si>
  <si>
    <t>B2-05-02-18</t>
  </si>
  <si>
    <t>NOZZLE, CUTTING ACETYLENE (RING HOLE)</t>
  </si>
  <si>
    <t>切割乙炔喷嘴（环孔）</t>
  </si>
  <si>
    <t>B2-05-02-19</t>
  </si>
  <si>
    <t>High-TEM Resistant Sealant!207</t>
  </si>
  <si>
    <t>耐高温TEM密封胶！207</t>
  </si>
  <si>
    <t>B2-05-02-20</t>
  </si>
  <si>
    <t>EPOXY RESIN AB GLUE!A+B!10.00KG</t>
  </si>
  <si>
    <t>环氧树脂AB胶！A+B！10.00KG</t>
  </si>
  <si>
    <t>B2-05-02-21</t>
  </si>
  <si>
    <t>WELDER FAST COPPER JOINT,50-75</t>
  </si>
  <si>
    <t>焊机快速铜接头，50-75</t>
  </si>
  <si>
    <t>50-75</t>
  </si>
  <si>
    <t>B2-05-03-01</t>
  </si>
  <si>
    <t>MMS1-321</t>
  </si>
  <si>
    <t>Ink fountain</t>
  </si>
  <si>
    <t>墨斗</t>
  </si>
  <si>
    <t>DL23</t>
  </si>
  <si>
    <t>B2-05-03-02</t>
  </si>
  <si>
    <t>RATCHET WRENCH, 6-32MM</t>
  </si>
  <si>
    <t>棘轮扳手，6-32MM</t>
  </si>
  <si>
    <t>B2-05-03-03</t>
  </si>
  <si>
    <t>MMS1-447</t>
  </si>
  <si>
    <t>B2-05-03-04</t>
  </si>
  <si>
    <t>TAP  WRENCH, 60MM</t>
  </si>
  <si>
    <t>B2-05-03-05</t>
  </si>
  <si>
    <t>TAP  WRENCH, 65MM</t>
  </si>
  <si>
    <t>B2-05-03-06</t>
  </si>
  <si>
    <t>MMS1-445</t>
  </si>
  <si>
    <t>SATA 70MM</t>
  </si>
  <si>
    <t>B2-05-03-07</t>
  </si>
  <si>
    <t>MMS1-446</t>
  </si>
  <si>
    <t>SATA 75MM</t>
  </si>
  <si>
    <t>B2-05-03-08</t>
  </si>
  <si>
    <t>80MM</t>
  </si>
  <si>
    <t>B2-05-03-09</t>
  </si>
  <si>
    <t>TAP WRENCH, 85MM</t>
  </si>
  <si>
    <t>B2-05-03-10</t>
  </si>
  <si>
    <t>TAP  WRENCH, 90MM</t>
  </si>
  <si>
    <t>B2-06-01-01</t>
  </si>
  <si>
    <t>Rechargeable Hydraulic Crimping Tool!  D</t>
  </si>
  <si>
    <t>充电式液压压接工具！D</t>
  </si>
  <si>
    <t>B2-06-01-02</t>
  </si>
  <si>
    <t>SLEEVE, PORCELAIN FOR ION CTNG MACH P80</t>
  </si>
  <si>
    <t>离子CTNG机P80瓷套</t>
  </si>
  <si>
    <t>B2-06-01-03</t>
  </si>
  <si>
    <t>FILM#POLISHED100*16*6MM</t>
  </si>
  <si>
    <t>菲林#抛光100*16*6MM</t>
  </si>
  <si>
    <t>100×6×16mm</t>
  </si>
  <si>
    <t>B2-06-01-04</t>
  </si>
  <si>
    <t>CROWBAR, 18 INCH</t>
  </si>
  <si>
    <t>撬棍，18英寸</t>
  </si>
  <si>
    <t>B2-06-01-05</t>
  </si>
  <si>
    <t>WRENCH, DOUBLE OPEN-END 34  36MM</t>
  </si>
  <si>
    <t>双开口扳手 34 36MM</t>
  </si>
  <si>
    <t>600mm</t>
  </si>
  <si>
    <t>B2-06-01-06</t>
  </si>
  <si>
    <t>MMS1-322</t>
  </si>
  <si>
    <t>Wrench</t>
  </si>
  <si>
    <t>扳手</t>
  </si>
  <si>
    <t>B2-06-01-07</t>
  </si>
  <si>
    <t>HAMMER, SLEDGE 16LBS/7,25KG</t>
  </si>
  <si>
    <t>锤子，大锤 16磅/7.25公斤</t>
  </si>
  <si>
    <t>B2-06-01-08</t>
  </si>
  <si>
    <t>CROWBAR, 24 INCH</t>
  </si>
  <si>
    <t>撬棍，24英寸</t>
  </si>
  <si>
    <t>B2-06-01-09/10</t>
  </si>
  <si>
    <t>POLISHING SHEET,  100*16MM</t>
  </si>
  <si>
    <t>抛光片，100*16MM</t>
  </si>
  <si>
    <t>B2-06-01-11/12</t>
  </si>
  <si>
    <t>TORCH, SUCTION G01/03-100</t>
  </si>
  <si>
    <t>吸气割炬 G01/03-100</t>
  </si>
  <si>
    <t>G01/03-100</t>
  </si>
  <si>
    <t>B2-06-01-13/14</t>
  </si>
  <si>
    <t>CUTTING PIECE#400*3.2*32MM</t>
  </si>
  <si>
    <t>切割片#400*3.2*32MM</t>
  </si>
  <si>
    <t>400×3.2×32mm</t>
  </si>
  <si>
    <t>B2-06-01-16</t>
  </si>
  <si>
    <t>IRON SANDPAPER, 240 GRIT</t>
  </si>
  <si>
    <t>铁砂纸，240号</t>
  </si>
  <si>
    <t>B2-06-01-17</t>
  </si>
  <si>
    <t>SANDPAPER, 80</t>
  </si>
  <si>
    <t>砂纸，80</t>
  </si>
  <si>
    <t>B2-06-01-18</t>
  </si>
  <si>
    <t>IRON SANDPAPER, 400 GRIT</t>
  </si>
  <si>
    <t>400号铁砂纸</t>
  </si>
  <si>
    <t>B2-06-01-20</t>
  </si>
  <si>
    <t>B2-06-02-01</t>
  </si>
  <si>
    <t>PIPE WRENCH18""</t>
  </si>
  <si>
    <t>管钳18英寸</t>
  </si>
  <si>
    <t>B2-06-02-02</t>
  </si>
  <si>
    <t>PIPE WRENCH, 12 INCH</t>
  </si>
  <si>
    <t>管钳，12英寸</t>
  </si>
  <si>
    <t>B2-06-02-03</t>
  </si>
  <si>
    <t>WELDER FAST COPPER JOINT,35-50</t>
  </si>
  <si>
    <t>焊机快速铜接头，35-50</t>
  </si>
  <si>
    <t>B2-06-02-04</t>
  </si>
  <si>
    <t>GRINDER, ANGLE FF03-100A 710W</t>
  </si>
  <si>
    <t>角向磨光机 FF03-100A 710W</t>
  </si>
  <si>
    <t>GWS 750-115</t>
  </si>
  <si>
    <t>B2-06-02-05</t>
  </si>
  <si>
    <t>WRENCH, SPANNER SLOGGING, SS36</t>
  </si>
  <si>
    <t>扳手，敲击扳手，SS36</t>
  </si>
  <si>
    <t>SLOGGING SPANNER WRENCH, 56MM</t>
  </si>
  <si>
    <t>敲击扳手，56MM</t>
  </si>
  <si>
    <t>B2-06-02-06</t>
  </si>
  <si>
    <t>NOZZLE, CUTTING ACETYLENE  (RING HOLE)</t>
  </si>
  <si>
    <t>G01-100/2</t>
  </si>
  <si>
    <t>B2-06-02-07</t>
  </si>
  <si>
    <t>KNIFE, UTILITY DL4260</t>
  </si>
  <si>
    <t>多用途刀 DL4260</t>
  </si>
  <si>
    <t>B2-06-02-08/9</t>
  </si>
  <si>
    <t>ELECTRODE HOLDER</t>
  </si>
  <si>
    <t>电焊钳</t>
  </si>
  <si>
    <t>500A</t>
  </si>
  <si>
    <t>B2-06-02-10</t>
  </si>
  <si>
    <t>ELECTRIC DRILL, 500W AC220V</t>
  </si>
  <si>
    <t>电钻，500W AC220V</t>
  </si>
  <si>
    <t>J1Z-FF05-10A</t>
  </si>
  <si>
    <t>B2-06-02-11</t>
  </si>
  <si>
    <t>MMS1-323</t>
  </si>
  <si>
    <t>DIN7444</t>
  </si>
  <si>
    <t>B2-06-02-12</t>
  </si>
  <si>
    <t>CUTTING PIECE#105*16*1.2MM</t>
  </si>
  <si>
    <t>切割片#105*16*1.2MM</t>
  </si>
  <si>
    <t>B2-06-02-13</t>
  </si>
  <si>
    <t>DISC, ABRASIVE PFERD CUTTING SS 4-1/2"</t>
  </si>
  <si>
    <t>磨料切割圆盘，SS 4-1/2"</t>
  </si>
  <si>
    <t>B2-06-02-14</t>
  </si>
  <si>
    <t>MMS1-324</t>
  </si>
  <si>
    <t>8*150mm</t>
  </si>
  <si>
    <t>B2-06-02-15</t>
  </si>
  <si>
    <t>MMS1-325</t>
  </si>
  <si>
    <t>8*200mm</t>
  </si>
  <si>
    <t>B2-06-02-16</t>
  </si>
  <si>
    <t>sandpaper</t>
  </si>
  <si>
    <t>砂纸</t>
  </si>
  <si>
    <t>B2-06-02-17</t>
  </si>
  <si>
    <t>PIPE REPAIR BANDAGE!15.2MX100MM</t>
  </si>
  <si>
    <t>管道修补绷带！15.2MX100MM</t>
  </si>
  <si>
    <t>B2-06-02-18</t>
  </si>
  <si>
    <t>PIPE REPAIR BANDAGE!6.1MX100MM</t>
  </si>
  <si>
    <t>管道修补绷带！6.1MX100MM</t>
  </si>
  <si>
    <t>B2-06-02-19</t>
  </si>
  <si>
    <t>PIPE REPAIR BANDAGE!4.8MX100MM</t>
  </si>
  <si>
    <t>管道修补绷带！4.8MX100MM</t>
  </si>
  <si>
    <t>B2-06-02-20</t>
  </si>
  <si>
    <t>32 mm</t>
  </si>
  <si>
    <t>B2-06-02-21</t>
  </si>
  <si>
    <t>B2-06-02-22</t>
  </si>
  <si>
    <t>TAP  WRENCH, 95MM</t>
  </si>
  <si>
    <t>B2-06-03-01</t>
  </si>
  <si>
    <t>MMS1-326</t>
  </si>
  <si>
    <t>bolt cutter</t>
  </si>
  <si>
    <t>断线钳</t>
  </si>
  <si>
    <t>B2-06-03-02</t>
  </si>
  <si>
    <t>HAMMER, SLEDGER 20LBS/9,07 KG</t>
  </si>
  <si>
    <t>锤子，大锤 20 磅/9.07 公斤</t>
  </si>
  <si>
    <t>B2-06-03-04</t>
  </si>
  <si>
    <t>MMS1-327</t>
  </si>
  <si>
    <t>6*150 SATA</t>
  </si>
  <si>
    <t>B2-06-03-05</t>
  </si>
  <si>
    <t>HAMMER, CLAW, 700 GR, 340MM LONG</t>
  </si>
  <si>
    <t>锤子，爪子，700 克，340 毫米长</t>
  </si>
  <si>
    <t>B2-06-03-06</t>
  </si>
  <si>
    <t>TROWEL PLASTER, 292X120</t>
  </si>
  <si>
    <t>抹刀灰泥，292X120</t>
  </si>
  <si>
    <t>B2-06-03-07</t>
  </si>
  <si>
    <t>MMS1-454</t>
  </si>
  <si>
    <t>46MM</t>
  </si>
  <si>
    <t>B2-06-03-08</t>
  </si>
  <si>
    <t>WRENCH, OPEN PLUM BLOSSOM 60MM</t>
  </si>
  <si>
    <t>B2-06-03-09</t>
  </si>
  <si>
    <t>FERRULE, ZIRCON, CERAMIC TAPERED STYLE</t>
  </si>
  <si>
    <t>B2-06-03-10</t>
  </si>
  <si>
    <t>MMS1-453</t>
  </si>
  <si>
    <t>27MM</t>
  </si>
  <si>
    <t>B2-06-03-11</t>
  </si>
  <si>
    <t>MMS1-328</t>
  </si>
  <si>
    <t>19*19</t>
  </si>
  <si>
    <t>B2-06-03-12</t>
  </si>
  <si>
    <t>MMS1-329</t>
  </si>
  <si>
    <t>24*24</t>
  </si>
  <si>
    <t>B2-06-03-13</t>
  </si>
  <si>
    <t>MMS1-330</t>
  </si>
  <si>
    <t>12*12</t>
  </si>
  <si>
    <t>B2-06-03-14</t>
  </si>
  <si>
    <t>MMS1-331</t>
  </si>
  <si>
    <t>30*30</t>
  </si>
  <si>
    <t>B2-06-03-15</t>
  </si>
  <si>
    <t>MMS1-452</t>
  </si>
  <si>
    <t>12MM</t>
  </si>
  <si>
    <t>B2-06-03-16</t>
  </si>
  <si>
    <t>MMS1-451</t>
  </si>
  <si>
    <t>14MM</t>
  </si>
  <si>
    <t>B2-06-03-17</t>
  </si>
  <si>
    <t>MMS1-450</t>
  </si>
  <si>
    <t>16MM</t>
  </si>
  <si>
    <t>B2-06-03-18</t>
  </si>
  <si>
    <t>MMS1-449</t>
  </si>
  <si>
    <t>17MM</t>
  </si>
  <si>
    <t>B2-06-03-19</t>
  </si>
  <si>
    <t>MMS1-448</t>
  </si>
  <si>
    <t>18MM</t>
  </si>
  <si>
    <t>B2-07-01-01/2</t>
  </si>
  <si>
    <t>PJ,90  ELBOW DN150-PN10 LONG RADIUS</t>
  </si>
  <si>
    <t>PJ，90度弯头 DN150-PN10 长半径</t>
  </si>
  <si>
    <t>B2-07-01-03/4</t>
  </si>
  <si>
    <t>PJ,90  LONG RADIUS ELBOW DN200</t>
  </si>
  <si>
    <t>PJ,90长半径弯头 DN200</t>
  </si>
  <si>
    <t>B2-07-01-05</t>
  </si>
  <si>
    <t>B2-07-01-06</t>
  </si>
  <si>
    <t>MMS1-332</t>
  </si>
  <si>
    <t>wire brush</t>
  </si>
  <si>
    <t>钢丝刷</t>
  </si>
  <si>
    <t>B2-07-01-07</t>
  </si>
  <si>
    <t>Paint Brush! Paint Brush! 5 Inch</t>
  </si>
  <si>
    <t>油漆刷！油漆刷！5英寸</t>
  </si>
  <si>
    <t>B2-07-01-08</t>
  </si>
  <si>
    <t>MMS1-333</t>
  </si>
  <si>
    <t>mop stick</t>
  </si>
  <si>
    <t>拖把棍</t>
  </si>
  <si>
    <t>B2-07-01-09</t>
  </si>
  <si>
    <t>MOPHEAD</t>
  </si>
  <si>
    <t>拖把头</t>
  </si>
  <si>
    <t>B2-07-01-10</t>
  </si>
  <si>
    <t>MMS1-334</t>
  </si>
  <si>
    <t>threaded steel bars</t>
  </si>
  <si>
    <t>螺纹钢筋</t>
  </si>
  <si>
    <t>B2-07-01-12</t>
  </si>
  <si>
    <t>MOTOR,THREE-PHASE</t>
  </si>
  <si>
    <t>液压推动器</t>
  </si>
  <si>
    <t>TY1-25Z/4</t>
  </si>
  <si>
    <t>B2-07-01-14</t>
  </si>
  <si>
    <t>FAN,RETURN PUMP,80UB-ZK50-35/35C3L</t>
  </si>
  <si>
    <t>风扇，回流泵，80UB-ZK50-35/35C3L</t>
  </si>
  <si>
    <t>B2-07-02-01</t>
  </si>
  <si>
    <t>MMS1-335</t>
  </si>
  <si>
    <t>cyclone sand spit</t>
  </si>
  <si>
    <t>旋流器沉沙嘴</t>
  </si>
  <si>
    <t>B2-07-02-02</t>
  </si>
  <si>
    <t>THERMOMETER 0~300℃</t>
  </si>
  <si>
    <t>B2-07-02-03</t>
  </si>
  <si>
    <t>HYDRAULIC JACK ,HP100</t>
  </si>
  <si>
    <t>圆锥破配件，HP100</t>
  </si>
  <si>
    <t>MMS1-336</t>
  </si>
  <si>
    <t>elbow</t>
  </si>
  <si>
    <t>2-150</t>
  </si>
  <si>
    <t>B2-07-02-04</t>
  </si>
  <si>
    <t>G1 AIR CONTROL WATER VALVE</t>
  </si>
  <si>
    <t>G1气控水阀</t>
  </si>
  <si>
    <t>PACKING GLAND ,50ZJ-I-A46,22K</t>
  </si>
  <si>
    <t>填料压盖，50ZJ-I-A46,22K</t>
  </si>
  <si>
    <t>B2-07-02-05</t>
  </si>
  <si>
    <t>SAFETY VALVE,SAG#75*43&amp;BALL#58*95</t>
  </si>
  <si>
    <t>安全阀，SAG#75*43&amp;BALL#58*95</t>
  </si>
  <si>
    <t>SAFTY VALVE AF(AQF#-E50/0.8 DN50 WCB</t>
  </si>
  <si>
    <t>安全阀AF(AQF#-E50/0.8 DN50 WCB</t>
  </si>
  <si>
    <t>B2-07-02-06</t>
  </si>
  <si>
    <t>PLANETARY REDUCER, 58,THICKENER 22K</t>
  </si>
  <si>
    <t>行星减速机，58，浓缩机22K</t>
  </si>
  <si>
    <t>B2-07-02-07</t>
  </si>
  <si>
    <t>MMS1-337</t>
  </si>
  <si>
    <t>Valve group valve block</t>
  </si>
  <si>
    <t>阀组阀块</t>
  </si>
  <si>
    <t>B2-07-02-08</t>
  </si>
  <si>
    <t>COTTER PIN ,HP100</t>
  </si>
  <si>
    <t>开口销，HP100</t>
  </si>
  <si>
    <t>B2-07-02-09</t>
  </si>
  <si>
    <t>pressure gauge</t>
  </si>
  <si>
    <t>压力表</t>
  </si>
  <si>
    <t>YBFXCHK-100</t>
  </si>
  <si>
    <t>B2-07-02-10</t>
  </si>
  <si>
    <t>MMS1-338</t>
  </si>
  <si>
    <t>thermometer</t>
  </si>
  <si>
    <t>温度计</t>
  </si>
  <si>
    <t>MMS1-339</t>
  </si>
  <si>
    <t>No. 2 battery</t>
  </si>
  <si>
    <t>2号电池</t>
  </si>
  <si>
    <t>B2-07-02-11</t>
  </si>
  <si>
    <t>COUPLING SPIDER ,GRIZZLY 22K</t>
  </si>
  <si>
    <t>联轴器，振动筛 22K</t>
  </si>
  <si>
    <t>B2-07-02-12</t>
  </si>
  <si>
    <t>ZINC OXIDE LIGHTNING ARRESTER</t>
  </si>
  <si>
    <t>氧化锌避雷器</t>
  </si>
  <si>
    <t>B2-07-02-13</t>
  </si>
  <si>
    <t>MMS1-340</t>
  </si>
  <si>
    <t>Gas station oil sight glass</t>
  </si>
  <si>
    <t>油站油视镜</t>
  </si>
  <si>
    <t>W4505630026</t>
  </si>
  <si>
    <t>B2-07-02-14</t>
  </si>
  <si>
    <t>B2-07-02-15</t>
  </si>
  <si>
    <t>MMS1-341</t>
  </si>
  <si>
    <t>electric motor</t>
  </si>
  <si>
    <t>电动机</t>
  </si>
  <si>
    <t>YE3-112M-2</t>
  </si>
  <si>
    <t>B2-07-02-16</t>
  </si>
  <si>
    <t>Clutch Pump!DZ93189230090!Shaanxi WT</t>
  </si>
  <si>
    <t>离合器泵!DZ93189230090!陕西WT</t>
  </si>
  <si>
    <t>B2-07-02-17</t>
  </si>
  <si>
    <t>MMS1-342</t>
  </si>
  <si>
    <t>Limit switch</t>
  </si>
  <si>
    <t>行程开关</t>
  </si>
  <si>
    <t>YBLX-K3/20S/W</t>
  </si>
  <si>
    <t>B2-07-02-18</t>
  </si>
  <si>
    <t>MMS1-343</t>
  </si>
  <si>
    <t>Back pressure valve screw</t>
  </si>
  <si>
    <t>背压阀螺杆</t>
  </si>
  <si>
    <t>B2-07-02-19</t>
  </si>
  <si>
    <t>B2-07-02-20</t>
  </si>
  <si>
    <t>MMS1-344</t>
  </si>
  <si>
    <t>cooling fan</t>
  </si>
  <si>
    <t>散热风机</t>
  </si>
  <si>
    <t>30W</t>
  </si>
  <si>
    <t>B2-07-02-21</t>
  </si>
  <si>
    <t>MMS1-345</t>
  </si>
  <si>
    <t>G-90-2</t>
  </si>
  <si>
    <t>B2-07-02-22</t>
  </si>
  <si>
    <t>MMS1-346</t>
  </si>
  <si>
    <t>Water seal ring</t>
  </si>
  <si>
    <t>100ZJ-42-010</t>
  </si>
  <si>
    <t>B2-07-02-23</t>
  </si>
  <si>
    <t>CONNECTOR,STRT,COOLER,DM45</t>
  </si>
  <si>
    <t>连接器，STRT，冷却器，DM45</t>
  </si>
  <si>
    <t>B2-07-02-24</t>
  </si>
  <si>
    <t>MMS1-347</t>
  </si>
  <si>
    <t>B2-07-02-25</t>
  </si>
  <si>
    <t>MMS1-348</t>
  </si>
  <si>
    <t>K058023 E*4</t>
  </si>
  <si>
    <t>B2-07-03-01</t>
  </si>
  <si>
    <t>MMS1-349</t>
  </si>
  <si>
    <t>paint brush</t>
  </si>
  <si>
    <t>油漆刷</t>
  </si>
  <si>
    <t>B2-07-03-03</t>
  </si>
  <si>
    <t>ELBOW 32MM THREADED, 3000LBS</t>
  </si>
  <si>
    <t>32毫米螺纹弯头，3000磅</t>
  </si>
  <si>
    <t>B2-07-03-04</t>
  </si>
  <si>
    <t>PAINT, AEROSOL COLOR:  RED</t>
  </si>
  <si>
    <t>喷漆，气雾剂颜色：红色</t>
  </si>
  <si>
    <t>B2-07-03-05</t>
  </si>
  <si>
    <t>MMS1-350</t>
  </si>
  <si>
    <t>O-ring kit</t>
  </si>
  <si>
    <t>O型密封圈套装</t>
  </si>
  <si>
    <t>B2-07-03-06</t>
  </si>
  <si>
    <t>MMS1-351</t>
  </si>
  <si>
    <t>B2-07-03-07</t>
  </si>
  <si>
    <t>MMS1-352</t>
  </si>
  <si>
    <t>B2-07-03-08</t>
  </si>
  <si>
    <t>RLR brush!8IN</t>
  </si>
  <si>
    <t>RLR 刷子！8英寸</t>
  </si>
  <si>
    <t>B2-07-03-09</t>
  </si>
  <si>
    <t>Paintbrush! 3 inch</t>
  </si>
  <si>
    <t>画笔！3英寸</t>
  </si>
  <si>
    <t>B2-07-03-11</t>
  </si>
  <si>
    <t>WIRE BRUSH FOR ANGLE GRINDER</t>
  </si>
  <si>
    <t>B2-07-03-12</t>
  </si>
  <si>
    <t>Wire wheel!100×16mm</t>
  </si>
  <si>
    <t>CV</t>
  </si>
  <si>
    <t>B2-07-03-16</t>
  </si>
  <si>
    <t>DOOR HANDLE SET</t>
  </si>
  <si>
    <t>B2-07-03-17</t>
  </si>
  <si>
    <t>MMS1353</t>
  </si>
  <si>
    <t>B2-07-03-18</t>
  </si>
  <si>
    <t>Commercial electronic scale!30 kg</t>
  </si>
  <si>
    <t>B2-07-03-19</t>
  </si>
  <si>
    <t>ElectronicScale!75KG!BatteryPowered!Port</t>
  </si>
  <si>
    <t>MMS1-354</t>
  </si>
  <si>
    <t>ELECTRONIC PORTABLE</t>
  </si>
  <si>
    <t>B2-08-01-01</t>
  </si>
  <si>
    <t xml:space="preserve"> COPPER ROD##20MMX500MM,SH</t>
  </si>
  <si>
    <t>铜棒##20MMX500MM,SH</t>
  </si>
  <si>
    <t>Ф20MMX500MM,SH</t>
  </si>
  <si>
    <t>B2-08-01-02</t>
  </si>
  <si>
    <t xml:space="preserve"> COPPER ROD##60MMX500MM,SH</t>
  </si>
  <si>
    <t>铜棒##60MMX500MM,SH</t>
  </si>
  <si>
    <t>Ф60MMX500MM,SH</t>
  </si>
  <si>
    <t>B2-08-01-03</t>
  </si>
  <si>
    <t xml:space="preserve"> COPPER ROD##40MMX500MM,SH</t>
  </si>
  <si>
    <t>铜棒##40MMX500MM,SH</t>
  </si>
  <si>
    <t>Ф40MMX500MM,SH</t>
  </si>
  <si>
    <t>B2-08-01-04/5</t>
  </si>
  <si>
    <t>SCREWS,CLAMPING BAR,MOVING JAW KIT</t>
  </si>
  <si>
    <t>螺钉、夹紧杆、移动钳口套件</t>
  </si>
  <si>
    <t>B2-08-01-06</t>
  </si>
  <si>
    <t>SCREWS,SUPPORT BAR,MOVING JAW KIT</t>
  </si>
  <si>
    <t>螺钉、支撑杆、移动颚套件</t>
  </si>
  <si>
    <t>B2-08-01-07</t>
  </si>
  <si>
    <t>SPRING KIERREJOUSI ,GRIZZLY 22K</t>
  </si>
  <si>
    <t>弹簧，振动筛 22K</t>
  </si>
  <si>
    <t>B2-08-01-08</t>
  </si>
  <si>
    <t>SCREW, M48,  JAW CRUSHER</t>
  </si>
  <si>
    <t>螺钉，M48，颚式破碎机</t>
  </si>
  <si>
    <t>B2-08-01-09</t>
  </si>
  <si>
    <t>SCREW, M48X405, JAW CRUSHER</t>
  </si>
  <si>
    <t>650.0313-01</t>
  </si>
  <si>
    <t>B2-08-01-10</t>
  </si>
  <si>
    <t>MMS1-355</t>
  </si>
  <si>
    <t>B2-08-01-11</t>
  </si>
  <si>
    <t>SCREW, M6S 36X180 8.8, JAW CRUSHER</t>
  </si>
  <si>
    <t>螺钉，M6S 36X180 8.8，颚式破碎机</t>
  </si>
  <si>
    <t>B2-08-01-12</t>
  </si>
  <si>
    <t>MMS1-356</t>
  </si>
  <si>
    <t>bolt</t>
  </si>
  <si>
    <t>M30*750</t>
  </si>
  <si>
    <t>B2-08-01-13</t>
  </si>
  <si>
    <t>BOLT, HOLD DOWN M24 X 650MM MILD STEEL</t>
  </si>
  <si>
    <t>螺栓，固定 M24 X 650MM 低碳钢</t>
  </si>
  <si>
    <t>B2-08-01-14</t>
  </si>
  <si>
    <t>BOLT, M16 X 425MM HOLD DOWN</t>
  </si>
  <si>
    <t>螺栓，M16 X 425MM 压紧</t>
  </si>
  <si>
    <t>B2-08-01-15</t>
  </si>
  <si>
    <t>BOLT, HOLD DOWN M20 X 560MM MILD STEEL</t>
  </si>
  <si>
    <t>螺栓，压紧 M20 X 560MM 低碳钢</t>
  </si>
  <si>
    <t>B2-08-01-16</t>
  </si>
  <si>
    <t>MMS1-357</t>
  </si>
  <si>
    <t>B2-08-01-17</t>
  </si>
  <si>
    <t>MMS1-358</t>
  </si>
  <si>
    <t>NUT*BOLTS M20*100</t>
  </si>
  <si>
    <t>60BOLTS/48NUTS</t>
  </si>
  <si>
    <t>B2-08-01-18</t>
  </si>
  <si>
    <t>MMS1-359</t>
  </si>
  <si>
    <t>M24*100</t>
  </si>
  <si>
    <t>79BOLTS/70NUTS</t>
  </si>
  <si>
    <t>B2-08-01-19</t>
  </si>
  <si>
    <t>MMS1-360</t>
  </si>
  <si>
    <t>B2-08-01-9</t>
  </si>
  <si>
    <t>B2-08-02-01</t>
  </si>
  <si>
    <t>MMS1-0069</t>
  </si>
  <si>
    <t>washer plate</t>
  </si>
  <si>
    <t>垫板</t>
  </si>
  <si>
    <t>BG00358616</t>
  </si>
  <si>
    <t>MMS1-0016</t>
  </si>
  <si>
    <t>未知</t>
  </si>
  <si>
    <t>B2-08-02-02</t>
  </si>
  <si>
    <t>MMS1-361</t>
  </si>
  <si>
    <t>flowserver pump</t>
  </si>
  <si>
    <t>泵轴</t>
  </si>
  <si>
    <t>B2-08-02-03</t>
  </si>
  <si>
    <t>MMS1-0010</t>
  </si>
  <si>
    <t>Pump guard</t>
  </si>
  <si>
    <t>泵护板</t>
  </si>
  <si>
    <t>B2-08-02-04/5</t>
  </si>
  <si>
    <t>TROLLEY,CABLE,CH-2</t>
  </si>
  <si>
    <t>滑车，电缆，CH-2</t>
  </si>
  <si>
    <t>B2-08-02-06</t>
  </si>
  <si>
    <t>Short angle iron</t>
  </si>
  <si>
    <t>短角铁</t>
  </si>
  <si>
    <t>40*40*420</t>
  </si>
  <si>
    <t>MMS1-363</t>
  </si>
  <si>
    <t>Short square steel</t>
  </si>
  <si>
    <t>短方形钢</t>
  </si>
  <si>
    <t>24*24*400</t>
  </si>
  <si>
    <t>B2-08-02-07</t>
  </si>
  <si>
    <t>MMS1-0039</t>
  </si>
  <si>
    <t>gasket</t>
  </si>
  <si>
    <t>垫圈</t>
  </si>
  <si>
    <t>鄂破</t>
  </si>
  <si>
    <t>B2-08-02-08</t>
  </si>
  <si>
    <t>MMS1-0040</t>
  </si>
  <si>
    <t>B2-08-02-09</t>
  </si>
  <si>
    <t>MMS1-0041</t>
  </si>
  <si>
    <t>B2-08-02-10</t>
  </si>
  <si>
    <t>RUBBER</t>
  </si>
  <si>
    <t>橡皮</t>
  </si>
  <si>
    <t>B2-08-02-11</t>
  </si>
  <si>
    <t>MMS1-0042</t>
  </si>
  <si>
    <t>SCREW</t>
  </si>
  <si>
    <t>拧紧</t>
  </si>
  <si>
    <t>B2-08-02-12</t>
  </si>
  <si>
    <t>WASHER, STEEL CHEEK PLATE</t>
  </si>
  <si>
    <t>垫圈，钢颊板</t>
  </si>
  <si>
    <t>B2-08-02-13</t>
  </si>
  <si>
    <t>MMS1-364</t>
  </si>
  <si>
    <t>B2-08-02-14</t>
  </si>
  <si>
    <t>SCREW,M6S 30X180 8.8</t>
  </si>
  <si>
    <t>螺丝，M6S 30X180 8.8</t>
  </si>
  <si>
    <t>B2-08-02-15</t>
  </si>
  <si>
    <t>MMS1-365</t>
  </si>
  <si>
    <t>SCREW,  CHEEK PLATE, (SHIM PLATE)</t>
  </si>
  <si>
    <t>螺钉，颊板，（垫板）</t>
  </si>
  <si>
    <t>B2-08-02-16</t>
  </si>
  <si>
    <t>SCREW,M6S M36*120 8.8 ZP,CJ815</t>
  </si>
  <si>
    <t>螺钉，M6S M36*120 8.8 ZP，CJ815</t>
  </si>
  <si>
    <t>B2-08-02-17</t>
  </si>
  <si>
    <t>MMS1-366</t>
  </si>
  <si>
    <t>stud bolts</t>
  </si>
  <si>
    <t>B2-08-02-18</t>
  </si>
  <si>
    <t>SCREW,CONVEYOR M16*100 8.8A3G, CJ815</t>
  </si>
  <si>
    <t>螺旋输送机 M16*100 8.8A3G，CJ815</t>
  </si>
  <si>
    <t>B2-08-02-19</t>
  </si>
  <si>
    <t>MMS1-367</t>
  </si>
  <si>
    <t>MMS1-368</t>
  </si>
  <si>
    <t>MMS1-369</t>
  </si>
  <si>
    <t>B2-08-02-20</t>
  </si>
  <si>
    <t>MMS1-370</t>
  </si>
  <si>
    <t>MMS1-371</t>
  </si>
  <si>
    <t>MMS1-372</t>
  </si>
  <si>
    <t>MMS1-373</t>
  </si>
  <si>
    <t>B2-08-03-10</t>
  </si>
  <si>
    <t>PIN, F RETRACTION ROD JAW CRUSHER</t>
  </si>
  <si>
    <t>B2-08-03-11</t>
  </si>
  <si>
    <t>NUT, M6M M36 8 FZB ISO 4032, JAW CRUSHER</t>
  </si>
  <si>
    <t>螺母，M6M M36 8 FZB ISO 4032，颚式破碎机</t>
  </si>
  <si>
    <t>B2-08-03-12</t>
  </si>
  <si>
    <t>MMS1-374</t>
  </si>
  <si>
    <t>B2-08-03-13</t>
  </si>
  <si>
    <t>MMS1-375</t>
  </si>
  <si>
    <t>NUT, JAW CRUSHER, 845.0227-00</t>
  </si>
  <si>
    <t>螺母，颚式破碎机，845.0227-00</t>
  </si>
  <si>
    <t>B2-08-03-14</t>
  </si>
  <si>
    <t>MMS1-376</t>
  </si>
  <si>
    <t>B2-09-01-01</t>
  </si>
  <si>
    <t>VALVE BODY.PNEUMATIC BUTTERFLY VALVE</t>
  </si>
  <si>
    <t>阀体.气动蝶阀</t>
  </si>
  <si>
    <t>DN200</t>
  </si>
  <si>
    <t>BALL VALVE,FLANGED,Q41F-25C,WCB,DN20</t>
  </si>
  <si>
    <t>B2-09-01-02</t>
  </si>
  <si>
    <t>KNIFE GATE VALVE DN80#PZ73Y-10RL</t>
  </si>
  <si>
    <t>刀闸阀 DN80#PZ73Y-10RL</t>
  </si>
  <si>
    <t>DN80</t>
  </si>
  <si>
    <t>B2-09-01-03</t>
  </si>
  <si>
    <t>BUTTERFLY VALVE,D71X-10Q DN80</t>
  </si>
  <si>
    <t>蝶阀,D71X-10Q DN80</t>
  </si>
  <si>
    <t>B2-09-01-04</t>
  </si>
  <si>
    <t>B2-09-01-05</t>
  </si>
  <si>
    <t>BALL VALVE,FLANGED,Q41F46-10C,DN80</t>
  </si>
  <si>
    <t>球阀，法兰，Q41F46-10C，DN80</t>
  </si>
  <si>
    <t>B2-09-01-06</t>
  </si>
  <si>
    <t>CHECK VALVE, H44Y-10RL DN100</t>
  </si>
  <si>
    <t>止回阀，H44Y-10RL DN100</t>
  </si>
  <si>
    <t>B2-09-01-07</t>
  </si>
  <si>
    <t>VALVE, GATE, Z41W-16C,DN32</t>
  </si>
  <si>
    <t>阀门，闸阀，Z41W-16C，DN32</t>
  </si>
  <si>
    <t>B2-09-01-08</t>
  </si>
  <si>
    <t>VALVE, BALL, Q41F46-10C  DN15-PN10</t>
  </si>
  <si>
    <t>阀门，球，Q41F46-10C DN15-PN10</t>
  </si>
  <si>
    <t>B2-09-01-09</t>
  </si>
  <si>
    <t>PNEUM BALL VALVE, Q641F-16C,PN=25, RPTFE</t>
  </si>
  <si>
    <t>气动球阀, Q641F-16C,PN=25, RPTFE</t>
  </si>
  <si>
    <t>B2-09-01-10</t>
  </si>
  <si>
    <t>VALVE, AIR,SWITCH V  SZ73Y-10C DN80</t>
  </si>
  <si>
    <t>阀门，空气，开关 V SZ73Y-10C DN80</t>
  </si>
  <si>
    <t>B2-09-01-13</t>
  </si>
  <si>
    <t>VALVE, BUTTERFLY, DN350, CL150, API 609,</t>
  </si>
  <si>
    <t>阀门，蝶阀，DN350，CL150，API 609，</t>
  </si>
  <si>
    <t>B2-09-01-14/15</t>
  </si>
  <si>
    <t>VALVE,GATE,KNIFE,DN80 CF3M</t>
  </si>
  <si>
    <t>阀门，闸阀，刀，DN80 CF3M</t>
  </si>
  <si>
    <t>B2-09-01-16/18</t>
  </si>
  <si>
    <t>VALVE,GATE,KNIFE,DN150 CF3M</t>
  </si>
  <si>
    <t>阀门，闸阀，刀，DN150 CF3M</t>
  </si>
  <si>
    <t>B2-09-01-19/20</t>
  </si>
  <si>
    <t>VALVE,BRAKE,DN50</t>
  </si>
  <si>
    <t>阀门，制动器，DN50</t>
  </si>
  <si>
    <t>B2-09-02-02</t>
  </si>
  <si>
    <t>BALL VALVE,FLANGED,Q41F-16C,WCB,DN20</t>
  </si>
  <si>
    <t>球阀，法兰，Q41F-16C，WCB，DN20</t>
  </si>
  <si>
    <t>B2-09-02-03</t>
  </si>
  <si>
    <t>VALVE, BALL, INTERNAL THREAD, DN32-PN10</t>
  </si>
  <si>
    <t>阀门，球阀，内螺纹，DN32-PN10</t>
  </si>
  <si>
    <t>B2-09-02-04</t>
  </si>
  <si>
    <t>BALL VALVE,FLANGED,Q41F-25C,WCB,DN25</t>
  </si>
  <si>
    <t>B2-09-02-05</t>
  </si>
  <si>
    <t>VALVE BODY,PNEUMATIC BUTTERFLY VALVE</t>
  </si>
  <si>
    <t>阀体，气动蝶阀</t>
  </si>
  <si>
    <t>B2-09-02-06</t>
  </si>
  <si>
    <t>VALVE, GATE, DN15, CL800, HAND WHEEL,</t>
  </si>
  <si>
    <t>阀门，闸阀，DN15，CL800，手轮，</t>
  </si>
  <si>
    <t>B2-09-02-07</t>
  </si>
  <si>
    <t>VALVE TYPE:  BALL            SIZE: 50MM</t>
  </si>
  <si>
    <t>阀门类型：球阀尺寸：50MM</t>
  </si>
  <si>
    <t>B2-09-02-08</t>
  </si>
  <si>
    <t>VALVE, BALL, Q41F46-10C  DN32-PN10</t>
  </si>
  <si>
    <t>阀门，球，Q41F46-10C DN32-PN10</t>
  </si>
  <si>
    <t>B2-09-02-09</t>
  </si>
  <si>
    <t>VALVE, GATE, Z41W-16C,DN20</t>
  </si>
  <si>
    <t>阀门，闸阀，Z41W-16C，DN20</t>
  </si>
  <si>
    <t>B2-09-02-10</t>
  </si>
  <si>
    <t>MMS1-377</t>
  </si>
  <si>
    <t>B2-09-02-11</t>
  </si>
  <si>
    <t>MMS1-378</t>
  </si>
  <si>
    <t>DN100</t>
  </si>
  <si>
    <t>B2-09-02-12</t>
  </si>
  <si>
    <t>ROASTING BOILER GATE VALVE</t>
  </si>
  <si>
    <t>B2-09-02-13</t>
  </si>
  <si>
    <t>MANUAL BALL VALVE ,FILTER PRESS 22K</t>
  </si>
  <si>
    <t>B2-09-02-14</t>
  </si>
  <si>
    <t>MMS1-379</t>
  </si>
  <si>
    <t>VALVE GATE</t>
  </si>
  <si>
    <t>闸阀</t>
  </si>
  <si>
    <t>Z41W-16C,DN25</t>
  </si>
  <si>
    <t>B2-09-02-15</t>
  </si>
  <si>
    <t>截止阀，PN40 DN15 J41H-40</t>
  </si>
  <si>
    <t>B2-09-02-16/17</t>
  </si>
  <si>
    <t>MMS1-380</t>
  </si>
  <si>
    <t>Valve Bolt Set</t>
  </si>
  <si>
    <t>阀门螺栓套装</t>
  </si>
  <si>
    <t>B2-09-02-18</t>
  </si>
  <si>
    <t>VALVE,GATE,KNIFE ,DN100 CF3M</t>
  </si>
  <si>
    <t>阀门，闸阀，刀阀，DN100 CF3M</t>
  </si>
  <si>
    <t>1 SET BOLT</t>
  </si>
  <si>
    <t>B2-09-02-19</t>
  </si>
  <si>
    <t>KNIFE GATE VALVE SZ73Y-10P DN50 PN10 CF8</t>
  </si>
  <si>
    <t>刀闸阀 SZ73Y-10P DN50 PN10 CF8</t>
  </si>
  <si>
    <t>B2-09-03-01</t>
  </si>
  <si>
    <t>VALVE, BALL MANUALLY OPERATED, 1/2",</t>
  </si>
  <si>
    <t>手动球阀，1/2英寸，</t>
  </si>
  <si>
    <t>B2-09-03-02</t>
  </si>
  <si>
    <t>MMS1-455</t>
  </si>
  <si>
    <t>1/2 150</t>
  </si>
  <si>
    <t>B2-09-03-03</t>
  </si>
  <si>
    <t>VALVE BALL Q11N-1000WOGRL DN15</t>
  </si>
  <si>
    <t>球阀 Q11N-1000WOGRL DN15</t>
  </si>
  <si>
    <t>B2-09-03-04</t>
  </si>
  <si>
    <t>MMS1-456</t>
  </si>
  <si>
    <t>2" 316</t>
  </si>
  <si>
    <t>B2-09-03-05</t>
  </si>
  <si>
    <t>VALVE, GATE, INTERNAL THREAD, DN20-PN16</t>
  </si>
  <si>
    <t>阀门，闸阀，内螺纹，DN20-PN16</t>
  </si>
  <si>
    <t>B2-09-03-06</t>
  </si>
  <si>
    <t>MMS1-0033</t>
  </si>
  <si>
    <t>VALVE, CHECK 3/4" 316 SS</t>
  </si>
  <si>
    <t>止回阀 3/4" 316 不锈钢</t>
  </si>
  <si>
    <t>MMS1-381</t>
  </si>
  <si>
    <t>Valve switch</t>
  </si>
  <si>
    <t>阀门开关</t>
  </si>
  <si>
    <t>B2-09-03-07</t>
  </si>
  <si>
    <t>BALL, VALVE FOR TYCO FIG. R721 (3/4")</t>
  </si>
  <si>
    <t>球阀，适用于 TYCO FIG. R721 (3/4")</t>
  </si>
  <si>
    <t>B2-09-03-08</t>
  </si>
  <si>
    <t>THREE PIECE SOCKET WELD BALL VALVE,2</t>
  </si>
  <si>
    <t>三片式承插焊球阀,2</t>
  </si>
  <si>
    <t>B2-09-03-09</t>
  </si>
  <si>
    <t>BALL VALVE</t>
  </si>
  <si>
    <t>1又1/4</t>
  </si>
  <si>
    <t>B2-09-03-10</t>
  </si>
  <si>
    <t>B2-09-03-11</t>
  </si>
  <si>
    <t>ELBOW, HDPE, PLASSON, 20MM</t>
  </si>
  <si>
    <t>弯头，HDPE，普拉松，20毫米</t>
  </si>
  <si>
    <t>B2-09-03-12</t>
  </si>
  <si>
    <t>TEE, PIPE HDPE, PLASSON, 20MM</t>
  </si>
  <si>
    <t>三通，管道 HDPE，普拉松，20 毫米</t>
  </si>
  <si>
    <t>B2-09-03-13</t>
  </si>
  <si>
    <t>VALVE, BALL, INTERNAL THREAD, DN50-PN10</t>
  </si>
  <si>
    <t>阀门，球阀，内螺纹，DN50-PN10</t>
  </si>
  <si>
    <t>B2-09-03-14</t>
  </si>
  <si>
    <t>MMS1-382</t>
  </si>
  <si>
    <t>B2-09-03-15</t>
  </si>
  <si>
    <t>THREE PIECE SOCKET WELD BALL VALVE,1</t>
  </si>
  <si>
    <t>三片式承插焊球阀,1</t>
  </si>
  <si>
    <t>B2-09-03-16</t>
  </si>
  <si>
    <t>MMS1-457</t>
  </si>
  <si>
    <t>DN25</t>
  </si>
  <si>
    <t>B2-09-03-17</t>
  </si>
  <si>
    <t>AIR TRAP DN25</t>
  </si>
  <si>
    <t>B2-09-03-19</t>
  </si>
  <si>
    <t>VALVE, BALL, DN80 PN10 PP GB/T9119-2000</t>
  </si>
  <si>
    <t>阀门，球，DN80 PN10 PP GB/T9119-2000</t>
  </si>
  <si>
    <t>B2-09-03-20</t>
  </si>
  <si>
    <t>MMS1-383</t>
  </si>
  <si>
    <t>Double Union Ball Valve</t>
  </si>
  <si>
    <t>双由令球阀</t>
  </si>
  <si>
    <t>Q41F-125LB-PP</t>
  </si>
  <si>
    <t>B2-10-01-01</t>
  </si>
  <si>
    <t>MMS1-384</t>
  </si>
  <si>
    <t>Butterfly valve</t>
  </si>
  <si>
    <t>蝶阀</t>
  </si>
  <si>
    <t>D371F-150LBRL   DN200</t>
  </si>
  <si>
    <t>B2-10-01-06/7</t>
  </si>
  <si>
    <t>SPRING,RESET,PNEUMA CLUTCH/D51VC1600,10K</t>
  </si>
  <si>
    <t>弹簧，复位，气动离合器/D51VC1600，10K</t>
  </si>
  <si>
    <t>22N SPC-11200M</t>
  </si>
  <si>
    <t>B2-10-01-08</t>
  </si>
  <si>
    <t>MMS1-385</t>
  </si>
  <si>
    <t>V-belt</t>
  </si>
  <si>
    <t>三角带</t>
  </si>
  <si>
    <t>SPB2000</t>
  </si>
  <si>
    <t>B2-10-01-10</t>
  </si>
  <si>
    <t>MMS1-386</t>
  </si>
  <si>
    <t>Bowl seal/ball mill</t>
  </si>
  <si>
    <t>碗型密封圈/球磨</t>
  </si>
  <si>
    <t>Φ21*13</t>
  </si>
  <si>
    <t>B2-10-02-01</t>
  </si>
  <si>
    <t>MAIN SHAFT RUBBER SEAL,22K, KYF-130</t>
  </si>
  <si>
    <t>主轴橡胶密封圈,22K, KYF-130</t>
  </si>
  <si>
    <t>250×15</t>
  </si>
  <si>
    <t>B2-10-02-02</t>
  </si>
  <si>
    <t>330×7</t>
  </si>
  <si>
    <t>B2-10-02-03</t>
  </si>
  <si>
    <t>224×7</t>
  </si>
  <si>
    <t>MAIN SHAFT RUBBER SEAL,22K, XCF/KYF-30</t>
  </si>
  <si>
    <t>主轴橡胶密封件，22K，XCF/KYF-30</t>
  </si>
  <si>
    <t>122×5.3</t>
  </si>
  <si>
    <t>B2-10-02-04</t>
  </si>
  <si>
    <t>140×170×15</t>
  </si>
  <si>
    <t>B2-10-02-05</t>
  </si>
  <si>
    <t>FRONT BEARING GLAND ,IS50-32, 22K</t>
  </si>
  <si>
    <t>前轴承压盖，IS50-32，22K</t>
  </si>
  <si>
    <t>REAR BEARING GLAND ,IS50-32, 22K</t>
  </si>
  <si>
    <t>后轴承压盖，IS50-32，22K</t>
  </si>
  <si>
    <t>B2-10-02-06</t>
  </si>
  <si>
    <t>VALVE,CHECK,DN50</t>
  </si>
  <si>
    <t>止回阀，DN50</t>
  </si>
  <si>
    <t>PN40 DN50</t>
  </si>
  <si>
    <t>B2-10-02-07</t>
  </si>
  <si>
    <t>MMS1-387</t>
  </si>
  <si>
    <t>rubber sealing gasket</t>
  </si>
  <si>
    <t>橡胶密封垫</t>
  </si>
  <si>
    <t>B2-10-02-08</t>
  </si>
  <si>
    <t>SEAL,OIL,REAR SKELETON,8/6-AH SLURRY PMP</t>
  </si>
  <si>
    <t>封，油，后骨架，8/6-AH 泥浆 PMP</t>
  </si>
  <si>
    <t>B2-10-02-09</t>
  </si>
  <si>
    <t>ZB2-BWM C  220VAC SCHNEIDER</t>
  </si>
  <si>
    <t>施耐德ZB2-BWM C 220VAC</t>
  </si>
  <si>
    <t>B2-10-02-10</t>
  </si>
  <si>
    <t>MMS1-388</t>
  </si>
  <si>
    <t>sealing ring</t>
  </si>
  <si>
    <t>密封圈</t>
  </si>
  <si>
    <t>B2-10-02-11</t>
  </si>
  <si>
    <t>PIPE 6 X 1- 800 XZA220.42 PHI - 79 PA11</t>
  </si>
  <si>
    <t>管道 6 X 1- 800 XZA220.42 PHI - 79 PA11</t>
  </si>
  <si>
    <t>B2-10-02-12</t>
  </si>
  <si>
    <t>STUFFING BOX O-RING</t>
  </si>
  <si>
    <t>填料函O型圈</t>
  </si>
  <si>
    <t>O-RING SEAL</t>
  </si>
  <si>
    <t>O型圈密封</t>
  </si>
  <si>
    <t>WATER PUMP O-RING SEAL</t>
  </si>
  <si>
    <t>水泵O型密封圈</t>
  </si>
  <si>
    <t>B2-10-02-13</t>
  </si>
  <si>
    <t>MMS1-389</t>
  </si>
  <si>
    <t>Cylinder seal</t>
  </si>
  <si>
    <t>气缸密封圈</t>
  </si>
  <si>
    <t>DN600</t>
  </si>
  <si>
    <t>MMS1-390</t>
  </si>
  <si>
    <t>B2-10-02-14</t>
  </si>
  <si>
    <t>SEAL,SHAFT,RETURN PUMP</t>
  </si>
  <si>
    <t>回流泵轴密封</t>
  </si>
  <si>
    <t>B2-10-02-15</t>
  </si>
  <si>
    <t>BUSHING,SHAFT,RECOVERY PUMP</t>
  </si>
  <si>
    <t>套管，轴，回收泵</t>
  </si>
  <si>
    <t>O-RING,AIR SYSTEM,DRILL D65</t>
  </si>
  <si>
    <t>O 型圈，空气系统，钻头 D65</t>
  </si>
  <si>
    <t>MMS1-391</t>
  </si>
  <si>
    <t>DN150</t>
  </si>
  <si>
    <t>MMS1-392</t>
  </si>
  <si>
    <t>O-ring</t>
  </si>
  <si>
    <t>O型密封圈</t>
  </si>
  <si>
    <t>MMS1-393</t>
  </si>
  <si>
    <t>Pump lock nut lock plate</t>
  </si>
  <si>
    <t>泵锁紧螺母锁片</t>
  </si>
  <si>
    <t>MMS1-394</t>
  </si>
  <si>
    <t>Pump lock nut</t>
  </si>
  <si>
    <t>泵锁紧螺母</t>
  </si>
  <si>
    <t>B2-10-02-16</t>
  </si>
  <si>
    <t>MMS1-395</t>
  </si>
  <si>
    <t>SPB2240</t>
  </si>
  <si>
    <t>B2-10-02-17</t>
  </si>
  <si>
    <t>MMS1-396</t>
  </si>
  <si>
    <t>SPB1700</t>
  </si>
  <si>
    <t>B2-10-02-18</t>
  </si>
  <si>
    <t>Rope guide</t>
  </si>
  <si>
    <t>导绳器</t>
  </si>
  <si>
    <t>5T</t>
  </si>
  <si>
    <t>B2-10-03-01</t>
  </si>
  <si>
    <t>MMS1-398</t>
  </si>
  <si>
    <t>橡皮封</t>
  </si>
  <si>
    <t>KYF-30</t>
  </si>
  <si>
    <t>B2-10-03-02</t>
  </si>
  <si>
    <t>320×360×20</t>
  </si>
  <si>
    <t>B2-10-03-04</t>
  </si>
  <si>
    <t>160×190×16</t>
  </si>
  <si>
    <t>B2-10-03-05</t>
  </si>
  <si>
    <t>260×8.6</t>
  </si>
  <si>
    <t>B2-11-01-01</t>
  </si>
  <si>
    <t>MMS1-399</t>
  </si>
  <si>
    <t>fluorescent light fittings</t>
  </si>
  <si>
    <t>荧光灯具</t>
  </si>
  <si>
    <t>B2-11-01-02/3</t>
  </si>
  <si>
    <t>FITTING LIGHT, 2FT 18WATT</t>
  </si>
  <si>
    <t>灯具，2 英尺 18 瓦</t>
  </si>
  <si>
    <t>2×36W</t>
  </si>
  <si>
    <t>B2-11-01-08</t>
  </si>
  <si>
    <t>MMS1-400</t>
  </si>
  <si>
    <t>distribution box</t>
  </si>
  <si>
    <t>配电箱</t>
  </si>
  <si>
    <t>B2-11-01-11</t>
  </si>
  <si>
    <t>MMS1-401</t>
  </si>
  <si>
    <t>B2-11-02-01</t>
  </si>
  <si>
    <t>LAMP, FLUORESCENT COMPACT, ENERGY</t>
  </si>
  <si>
    <t>节能荧光灯</t>
  </si>
  <si>
    <t>20W</t>
  </si>
  <si>
    <t>B2-11-02-02</t>
  </si>
  <si>
    <t>18W</t>
  </si>
  <si>
    <t>B2-11-02-03</t>
  </si>
  <si>
    <t>MMS1-402</t>
  </si>
  <si>
    <t>METAL HOLE SAW KIT</t>
  </si>
  <si>
    <t>金属孔锯套件</t>
  </si>
  <si>
    <t>B2-11-02-04</t>
  </si>
  <si>
    <t>2×18W</t>
  </si>
  <si>
    <t>B2-11-02-05</t>
  </si>
  <si>
    <t>VALVE, SAFETY KWIKOT, OPERATING</t>
  </si>
  <si>
    <t>灯座</t>
  </si>
  <si>
    <t>B2-11-02-06</t>
  </si>
  <si>
    <t>MONITOR</t>
  </si>
  <si>
    <t>B2-11-02-08</t>
  </si>
  <si>
    <t>MMS1-404</t>
  </si>
  <si>
    <t>surveillance cameras</t>
  </si>
  <si>
    <t>摄像头</t>
  </si>
  <si>
    <t>B2-11-02-09</t>
  </si>
  <si>
    <t>MMS1-405</t>
  </si>
  <si>
    <t>elephone</t>
  </si>
  <si>
    <t>电话</t>
  </si>
  <si>
    <t>B2-11-02-10</t>
  </si>
  <si>
    <t>MMS1-406</t>
  </si>
  <si>
    <t>Camera cover</t>
  </si>
  <si>
    <t>摄像头罩</t>
  </si>
  <si>
    <t>B2-11-02-11</t>
  </si>
  <si>
    <t>MMS1-407</t>
  </si>
  <si>
    <t>Camera bracket</t>
  </si>
  <si>
    <t>摄像头支架</t>
  </si>
  <si>
    <t>B2-11-02-12</t>
  </si>
  <si>
    <t>MMS1-408</t>
  </si>
  <si>
    <t>B2-11-03-01</t>
  </si>
  <si>
    <t>MMS1-409</t>
  </si>
  <si>
    <t>Switch</t>
  </si>
  <si>
    <t>交换机</t>
  </si>
  <si>
    <t>B2-11-03-02</t>
  </si>
  <si>
    <t>MMS1-410</t>
  </si>
  <si>
    <t>B2-11-03-03</t>
  </si>
  <si>
    <t>MMS1-411</t>
  </si>
  <si>
    <t>Telephone</t>
  </si>
  <si>
    <t>B2-11-03-04</t>
  </si>
  <si>
    <t>MMS1-412</t>
  </si>
  <si>
    <t>LG Dual Fiber Optic Adapter</t>
  </si>
  <si>
    <t>LG双联光纤适配器</t>
  </si>
  <si>
    <t>B2-11-03-05</t>
  </si>
  <si>
    <t>MMS1-413</t>
  </si>
  <si>
    <t>Fiber optic patch cord (3 meters)</t>
  </si>
  <si>
    <t>光纤跳线（3米）</t>
  </si>
  <si>
    <t>18+57*75</t>
  </si>
  <si>
    <t>B2-11-03-06</t>
  </si>
  <si>
    <t>MMS1-414</t>
  </si>
  <si>
    <t>Single-mode 12-core pigtail (1.5 meters)</t>
  </si>
  <si>
    <t>单模12芯束状尾纤（1.5米）</t>
  </si>
  <si>
    <t>B2-11-03-07</t>
  </si>
  <si>
    <t>MMS1-415</t>
  </si>
  <si>
    <t>Cable box</t>
  </si>
  <si>
    <t>电缆盒</t>
  </si>
  <si>
    <t>B2-11-03-08</t>
  </si>
  <si>
    <t>PUMP,MEASURING</t>
  </si>
  <si>
    <t>计量泵</t>
  </si>
  <si>
    <t>B2-11-03-10</t>
  </si>
  <si>
    <t>EXPLOSION-PROOF FACTORY FLOODLIGHT</t>
  </si>
  <si>
    <t>防爆工厂泛光灯</t>
  </si>
  <si>
    <t>B2-11-03-11</t>
  </si>
  <si>
    <t>THREE-PROOF FLOODLIGHT NFC9192-50W</t>
  </si>
  <si>
    <t>三防泛光灯NFC9192-50W</t>
  </si>
  <si>
    <t>B2-11-03-12</t>
  </si>
  <si>
    <t>B2-11-03-13</t>
  </si>
  <si>
    <t>EXPLOSION-PROOF FLOODLIGHT BFC8117-200W</t>
  </si>
  <si>
    <t>防爆泛光灯 BFC8117-200W</t>
  </si>
  <si>
    <t>B2-11-03-14</t>
  </si>
  <si>
    <t>B2-11-03-15</t>
  </si>
  <si>
    <t>LIGHT,HIGH CEILING,NGC9826</t>
  </si>
  <si>
    <t>灯，高天花板，NGC9826</t>
  </si>
  <si>
    <t>B2-11-03-16</t>
  </si>
  <si>
    <t>LIGHT,LED FACTORY,POLE TYPE,LGT8628</t>
  </si>
  <si>
    <t>灯，LED工厂，杆式，LGT8628</t>
  </si>
  <si>
    <t>B2-11-03-17</t>
  </si>
  <si>
    <t>B2-11-03-18</t>
  </si>
  <si>
    <t>THREE-PROOF FLOODLIGHT NFC9192-70W</t>
  </si>
  <si>
    <t>三防泛光灯NFC9192-70W</t>
  </si>
  <si>
    <t>B2-11-03-19</t>
  </si>
  <si>
    <t>B2-12-01-01/3</t>
  </si>
  <si>
    <t>MMS1-416</t>
  </si>
  <si>
    <t>On-site control cabinet</t>
  </si>
  <si>
    <t>现场控制柜</t>
  </si>
  <si>
    <t>B2-12-01-06</t>
  </si>
  <si>
    <t>ELECTRIC JACK HAMMER HILTI TE 3000-AVR</t>
  </si>
  <si>
    <t>电动风镐 HILTI TE 3000-AVR</t>
  </si>
  <si>
    <t>B2-12-01-07</t>
  </si>
  <si>
    <t>TORQUE WRENCH,IND ELEC HIGH 3500W AC220V</t>
  </si>
  <si>
    <t>扭矩扳手，工业电动高3500W AC220V</t>
  </si>
  <si>
    <t>B2-12-01-08</t>
  </si>
  <si>
    <t>SOFT START CMC-700/6-HX-0-ZT</t>
  </si>
  <si>
    <t>软启动 CMC-700/6-HX-0-ZT</t>
  </si>
  <si>
    <t>B2-12-01-09</t>
  </si>
  <si>
    <t>MMS1-417</t>
  </si>
  <si>
    <t>Sulfur dioxide pretreatment box</t>
  </si>
  <si>
    <t>二氧化硫预处理箱</t>
  </si>
  <si>
    <t>B2-12-02-01</t>
  </si>
  <si>
    <t>MMS1-418</t>
  </si>
  <si>
    <t>input module</t>
  </si>
  <si>
    <t>输入模块</t>
  </si>
  <si>
    <t>JBF5131A</t>
  </si>
  <si>
    <t>B2-12-02-02</t>
  </si>
  <si>
    <t>MMS1-419</t>
  </si>
  <si>
    <t xml:space="preserve">SMOKE DETECTOR </t>
  </si>
  <si>
    <t>烟雾探测器</t>
  </si>
  <si>
    <t>JBF5100</t>
  </si>
  <si>
    <t>B2-12-02-03</t>
  </si>
  <si>
    <t>MMS1-403</t>
  </si>
  <si>
    <t xml:space="preserve">FIRE DETECTOR </t>
  </si>
  <si>
    <t>火灾探测器</t>
  </si>
  <si>
    <t>JBF5110</t>
  </si>
  <si>
    <t>B2-12-02-04</t>
  </si>
  <si>
    <t>MMS1-420</t>
  </si>
  <si>
    <t>SURGE  PROTECTOR</t>
  </si>
  <si>
    <t>电涌保护器</t>
  </si>
  <si>
    <t>JBF4480DC</t>
  </si>
  <si>
    <t>B2-12-02-05</t>
  </si>
  <si>
    <t>MMS1-421</t>
  </si>
  <si>
    <t>Isolation module</t>
  </si>
  <si>
    <t>隔离模块</t>
  </si>
  <si>
    <t>B2-12-02-06</t>
  </si>
  <si>
    <t>MMS1-422</t>
  </si>
  <si>
    <t>Manual fire alarm button</t>
  </si>
  <si>
    <t>手动火灾报警按钮</t>
  </si>
  <si>
    <t>J-SAP-JBF5121-P</t>
  </si>
  <si>
    <t>B2-12-02-07</t>
  </si>
  <si>
    <t>MMS1-423</t>
  </si>
  <si>
    <t>Fire sound and light alarm</t>
  </si>
  <si>
    <t>火灾声光报警器</t>
  </si>
  <si>
    <t>JBF4372E2</t>
  </si>
  <si>
    <t>B2-12-02-08</t>
  </si>
  <si>
    <t>MMS1-424</t>
  </si>
  <si>
    <t>Detector base</t>
  </si>
  <si>
    <t>探测器底座</t>
  </si>
  <si>
    <t>JBF-VB4301B</t>
  </si>
  <si>
    <t>B2-12-02-09</t>
  </si>
  <si>
    <t>METAL DETECTOR, 22K MAGNET,JYG-14B</t>
  </si>
  <si>
    <t>金属探测器，22K磁铁，JYG-14B</t>
  </si>
  <si>
    <t>B2-12-02-10</t>
  </si>
  <si>
    <t>METAL DETECTOR,22K MAGNET,JYG-10B</t>
  </si>
  <si>
    <t>金属探测器，22K磁铁，JYG-10B</t>
  </si>
  <si>
    <t>B2-12-02-11</t>
  </si>
  <si>
    <t>MMS1-425</t>
  </si>
  <si>
    <t>Switching Power Supply</t>
  </si>
  <si>
    <t>开关电源</t>
  </si>
  <si>
    <t>输出 12V/2A</t>
  </si>
  <si>
    <t>B2-12-02-12</t>
  </si>
  <si>
    <t>MMS1-426</t>
  </si>
  <si>
    <t>12-core universal terminal box</t>
  </si>
  <si>
    <t>12芯通用型终端盒</t>
  </si>
  <si>
    <t>B2-12-02-14/15</t>
  </si>
  <si>
    <t>MMS1-427</t>
  </si>
  <si>
    <t>Fire module box</t>
  </si>
  <si>
    <t>消防模块箱</t>
  </si>
  <si>
    <t>B2-12-03-01</t>
  </si>
  <si>
    <t>MMS1-428</t>
  </si>
  <si>
    <t>Input/Output Module</t>
  </si>
  <si>
    <t>输入/输出模块</t>
  </si>
  <si>
    <t>VB3401A</t>
  </si>
  <si>
    <t>B2-12-03-02</t>
  </si>
  <si>
    <t>MMS1-429</t>
  </si>
  <si>
    <t>JBF-VB5301</t>
  </si>
  <si>
    <t>B2-12-03-03</t>
  </si>
  <si>
    <t>MMS1-430</t>
  </si>
  <si>
    <t>VB3401B</t>
  </si>
  <si>
    <t>B2-12-03-04</t>
  </si>
  <si>
    <t>MMS1-431</t>
  </si>
  <si>
    <t>Digital temperature controller</t>
  </si>
  <si>
    <t>数显温度调节仪</t>
  </si>
  <si>
    <t>XMJ-122</t>
  </si>
  <si>
    <t>B2-12-03-05</t>
  </si>
  <si>
    <t>CABLE,I, PIT VIPER235</t>
  </si>
  <si>
    <t>电缆，I，PIT VIPER235</t>
  </si>
  <si>
    <t>B2-12-03-06</t>
  </si>
  <si>
    <t>MICROMETER,EXTERNAL,300-325MM</t>
  </si>
  <si>
    <t>外径千分尺，300-325MM</t>
  </si>
  <si>
    <t>B2-A</t>
  </si>
  <si>
    <t>ENAMEL</t>
  </si>
  <si>
    <t>油漆</t>
  </si>
  <si>
    <t>BLUE</t>
  </si>
  <si>
    <t>YELLOW PAINT</t>
  </si>
  <si>
    <t>黄色油漆</t>
  </si>
  <si>
    <t>B2-B</t>
  </si>
  <si>
    <t>BATTERY,UPS,12V/65AH,6-GFM-65</t>
  </si>
  <si>
    <t>电池，UPS，12V/65AH，6-GFM-65</t>
  </si>
  <si>
    <t>BATTERY,UPS,12V/38AH,6-GFM-38</t>
  </si>
  <si>
    <t>电池，UPS，12V/38AH，6-GFM-38</t>
  </si>
  <si>
    <t>B2-C</t>
  </si>
  <si>
    <t>FIRE EXTINGUISHERS</t>
  </si>
  <si>
    <t>灭火器</t>
  </si>
  <si>
    <t>B2-D</t>
  </si>
  <si>
    <t>BUCKET, PLASTIC, 20 LITER, WITH HANDLE</t>
  </si>
  <si>
    <t>桶，塑料，20 升，带手柄</t>
  </si>
  <si>
    <t>THINNER,TOPCOAT,15KG/BARREL</t>
  </si>
  <si>
    <t>稀释剂，面漆，15公斤/桶</t>
  </si>
  <si>
    <t>THINNER,EPOXY PRIMER,15KG/BARREL</t>
  </si>
  <si>
    <t>稀释剂，环氧底漆，15公斤/桶</t>
  </si>
  <si>
    <t>AGENT,CURING,EPOXY ZINCPHOSPHATE PRIMER</t>
  </si>
  <si>
    <t>固化剂，环氧磷酸锌底漆</t>
  </si>
  <si>
    <t>AGENT,CURING,TOPCOAT,2.5KG/BARREL</t>
  </si>
  <si>
    <t>剂，固化，面漆，2.5公斤/桶</t>
  </si>
  <si>
    <t>PAINT, ANTI-RUST NUROOF, ACRYLIC, GREEN</t>
  </si>
  <si>
    <t>油漆，防锈 NUROOF，丙烯酸，绿色</t>
  </si>
  <si>
    <t>PRIMER,EPOXY ZINC PHOSPHATE ANTI-CO</t>
  </si>
  <si>
    <t>环氧磷酸锌防腐底漆</t>
  </si>
  <si>
    <t>B2-E</t>
  </si>
  <si>
    <t>HAND CHAIN HOIST,5TX3M</t>
  </si>
  <si>
    <t>手拉葫芦,5TX3M</t>
  </si>
  <si>
    <t>4T/3M</t>
  </si>
  <si>
    <t>CHAIN BLOCK, 5T</t>
  </si>
  <si>
    <t>手拉葫芦，5吨</t>
  </si>
  <si>
    <t>5T/4M</t>
  </si>
  <si>
    <t>SLING 10TON , 3M LENGTH , ROUND</t>
  </si>
  <si>
    <t>吊索 10 吨，3 米长，圆形</t>
  </si>
  <si>
    <t>10T/10M</t>
  </si>
  <si>
    <t>PORTABLE AXIAL FLOW FAN</t>
  </si>
  <si>
    <t>便携式轴流风扇</t>
  </si>
  <si>
    <t>MMS1-432</t>
  </si>
  <si>
    <t>PALAN 1T*3M</t>
  </si>
  <si>
    <t>手拉葫芦 1T*3M</t>
  </si>
  <si>
    <t>2T/6M</t>
  </si>
  <si>
    <t>2吨/6米</t>
  </si>
  <si>
    <t>BLOCK, HOIST CHAIN, 1 TON</t>
  </si>
  <si>
    <t>起重链滑车，1吨</t>
  </si>
  <si>
    <t>B2-F</t>
  </si>
  <si>
    <t>BOTTOM SPOUT SHEATH</t>
  </si>
  <si>
    <t>旋流器沉沙嘴护套</t>
  </si>
  <si>
    <t>PROFILE CUTTING MACHINE</t>
  </si>
  <si>
    <t>型材切割机</t>
  </si>
  <si>
    <t>380V 3KW</t>
  </si>
  <si>
    <t>MMS1-433</t>
  </si>
  <si>
    <t>COOLING BLOWER</t>
  </si>
  <si>
    <t>690V/320W</t>
  </si>
  <si>
    <t>COOLING FAN,1625 1810 32</t>
  </si>
  <si>
    <t>冷却风扇,1625 1810 32</t>
  </si>
  <si>
    <t>B2-G</t>
  </si>
  <si>
    <t>Plant</t>
  </si>
  <si>
    <t>Valuation Type</t>
  </si>
  <si>
    <t>Last Change</t>
  </si>
  <si>
    <t>Base Unit of Measure</t>
  </si>
  <si>
    <t>Price</t>
  </si>
  <si>
    <t>Currency</t>
  </si>
  <si>
    <t>Price unit</t>
  </si>
  <si>
    <t>Created by</t>
  </si>
  <si>
    <t>3458</t>
  </si>
  <si>
    <t>USD</t>
  </si>
  <si>
    <t>压滤空压机</t>
  </si>
  <si>
    <t>PRE FILTER,1089 9486 63</t>
  </si>
  <si>
    <t>HOSE,1625 1855 19</t>
  </si>
  <si>
    <t>HOSE,1625 1855 20</t>
  </si>
  <si>
    <t>EXHAUST PIPE,1641 0055 15</t>
  </si>
  <si>
    <t>EXHAUST PIPE,1641 0055 16</t>
  </si>
  <si>
    <t>OIL PIPE,1641 0055 96</t>
  </si>
  <si>
    <t>OIL PIPE,1641 0055 98</t>
  </si>
  <si>
    <t>EXHAUST PIPE,2205 2515 70</t>
  </si>
  <si>
    <t>HOSE,1625 1855 21</t>
  </si>
  <si>
    <t>INKAKE HOSE,1625 1898 02</t>
  </si>
  <si>
    <t>PIPE,EXHAUST,1625 1768 56</t>
  </si>
  <si>
    <t>PIPE,EXHAUST,2205 1995 44</t>
  </si>
  <si>
    <t>PIPE,OIL,2205 4715 81</t>
  </si>
  <si>
    <t>PIPE,OIL,2205 4683 44</t>
  </si>
  <si>
    <t>PIPE,OIL,1641 4703 15</t>
  </si>
  <si>
    <t>HOSE,INTAKE,1645 1890 81</t>
  </si>
  <si>
    <t>PIPE,OIL,1677 1867 58</t>
  </si>
  <si>
    <t>FITTING,PIPE,1641675100</t>
  </si>
  <si>
    <t>PIPE,OIL,1625 1889 29</t>
  </si>
  <si>
    <t>PRE-FILTER,1089 948642</t>
  </si>
  <si>
    <t>SAFTY VALVE, PN40 DN100 A48Y-40C</t>
  </si>
  <si>
    <t>海王旋流器</t>
  </si>
  <si>
    <t>CLOTH CLAMP ,FILTER PRESS 22K</t>
  </si>
  <si>
    <t>压滤</t>
  </si>
  <si>
    <t>AYUMA</t>
  </si>
  <si>
    <t>磨矿</t>
  </si>
  <si>
    <t>QZHANG3</t>
  </si>
  <si>
    <t>WEDGE BLOCK-RIGHT, 02, CHIP SCREEN 22K</t>
  </si>
  <si>
    <t>SIDE PR PLATE L=200*40-1840,CHIP SCRN22K</t>
  </si>
  <si>
    <t>SIDE CLMP PLATE-1220X200X40,CHIP SCRN22K</t>
  </si>
  <si>
    <t>SD CLMP PLATE L=300*40-1840,CHIP SCRN22K</t>
  </si>
  <si>
    <t>浮选</t>
  </si>
  <si>
    <t>制酸</t>
  </si>
  <si>
    <t>SCRAPER DRIVE CHAIN 25X23M</t>
  </si>
  <si>
    <t>料堆重板</t>
  </si>
  <si>
    <t>SCRAPER CONVEYOR MOTOR  32X9M</t>
  </si>
  <si>
    <t>REDUCER, SCRAPER CONVEYOR, 32X9M</t>
  </si>
  <si>
    <t>VALVE, BALL, INSULATED, DN100/150</t>
  </si>
  <si>
    <t>焙烧阀门</t>
  </si>
  <si>
    <t>OIL PIPE, 1641 0056 40</t>
  </si>
  <si>
    <t>B2-03-01-16</t>
  </si>
  <si>
    <t>B2-02-01-01</t>
  </si>
  <si>
    <t>60BOLTS\48NUTS</t>
  </si>
  <si>
    <t>79BOLTS\70NUTS</t>
  </si>
  <si>
    <t>MMS1-481</t>
  </si>
  <si>
    <t>B2-06-01-21</t>
  </si>
  <si>
    <t>B2-06-01-22</t>
  </si>
  <si>
    <t>MMS1-462</t>
  </si>
  <si>
    <t>MMS1-461</t>
  </si>
  <si>
    <t>2EA+1SET</t>
  </si>
  <si>
    <t>MMS1-463</t>
  </si>
  <si>
    <t>MMS1-464</t>
  </si>
  <si>
    <t>MMS1-465</t>
  </si>
  <si>
    <t>MMS1-466</t>
  </si>
  <si>
    <t>MMS1-467</t>
  </si>
  <si>
    <t>MMSI-468</t>
  </si>
  <si>
    <t>MMS1-469</t>
  </si>
  <si>
    <t>MMS1-470</t>
  </si>
  <si>
    <t>MMS1-471</t>
  </si>
  <si>
    <t>MMS1-472</t>
  </si>
  <si>
    <t>MD01-01-01-01-02</t>
  </si>
  <si>
    <t>MMS1-473</t>
  </si>
  <si>
    <t>MD01-01-01-03-04</t>
  </si>
  <si>
    <t>MMS1-474</t>
  </si>
  <si>
    <t>MMS1-475</t>
  </si>
  <si>
    <t>MDO1-02-02-02-04</t>
  </si>
  <si>
    <t>MMS1-476</t>
  </si>
  <si>
    <t>MMS1-477</t>
  </si>
  <si>
    <t>MMS1-478</t>
  </si>
  <si>
    <t>MMS1-479</t>
  </si>
  <si>
    <t>MMS1-480</t>
  </si>
  <si>
    <t>M20*140</t>
  </si>
  <si>
    <t>MMS1-201</t>
  </si>
  <si>
    <t>MMS1-203</t>
  </si>
  <si>
    <t>MMS1-204</t>
  </si>
  <si>
    <t>stator BM045</t>
  </si>
  <si>
    <t>MMS1-236</t>
  </si>
  <si>
    <t>18*35</t>
  </si>
  <si>
    <t>MD01-09-06-03-04</t>
  </si>
  <si>
    <t>MDO1-09-06-03-04</t>
  </si>
  <si>
    <t>3small/4large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</si>
</sst>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>
    <font>
      <sz val="10"/>
      <name val="Arial"/>
    </font>
    <font>
      <sz val="10"/>
      <name val="Arial"/>
      <charset val="134"/>
    </font>
    <font>
      <sz val="10"/>
      <name val="微软雅黑"/>
      <charset val="134"/>
    </font>
    <font>
      <i/>
      <sz val="11"/>
      <color rgb="FF7F7F7F"/>
      <name val="Calibri"/>
      <charset val="134"/>
    </font>
    <font>
      <sz val="10"/>
      <name val="Arial"/>
      <charset val="134"/>
    </font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9"/>
      <color rgb="FF3C4043"/>
      <name val="Arial"/>
      <charset val="134"/>
    </font>
    <font>
      <sz val="12"/>
      <color rgb="FF3C4043"/>
      <name val="Arial"/>
      <charset val="134"/>
    </font>
    <font>
      <sz val="11"/>
      <color rgb="FF000000"/>
      <name val="等线"/>
      <charset val="134"/>
    </font>
    <font>
      <sz val="9"/>
      <color rgb="FF3C4043"/>
      <name val="微软雅黑"/>
      <charset val="134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top"/>
      <protection locked="0"/>
    </xf>
  </cellStyleXfs>
  <cellXfs count="6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/>
    <xf numFmtId="3" fontId="1" fillId="0" borderId="1" xfId="0" applyNumberFormat="1" applyFont="1" applyBorder="1" applyAlignment="1">
      <alignment horizontal="center" vertical="center"/>
    </xf>
    <xf numFmtId="0" fontId="3" fillId="0" borderId="1" xfId="1" applyBorder="1" applyAlignment="1" applyProtection="1"/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/>
    <xf numFmtId="0" fontId="4" fillId="0" borderId="1" xfId="0" applyFont="1" applyBorder="1" applyAlignment="1">
      <alignment horizontal="center" vertical="center"/>
    </xf>
    <xf numFmtId="0" fontId="1" fillId="4" borderId="0" xfId="0" applyFont="1" applyFill="1" applyAlignment="1"/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/>
    <xf numFmtId="0" fontId="5" fillId="0" borderId="0" xfId="0" applyFont="1" applyAlignment="1">
      <alignment horizontal="right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right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164" fontId="5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/>
    <xf numFmtId="0" fontId="5" fillId="3" borderId="0" xfId="0" applyFont="1" applyFill="1" applyAlignment="1"/>
    <xf numFmtId="164" fontId="5" fillId="0" borderId="1" xfId="0" applyNumberFormat="1" applyFont="1" applyBorder="1" applyAlignment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right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right"/>
    </xf>
    <xf numFmtId="0" fontId="1" fillId="2" borderId="1" xfId="0" applyFont="1" applyFill="1" applyBorder="1" applyAlignment="1"/>
    <xf numFmtId="1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2" fillId="0" borderId="0" xfId="0" applyFont="1" applyAlignment="1"/>
  </cellXfs>
  <cellStyles count="2">
    <cellStyle name="Normal" xfId="0" builtinId="0"/>
    <cellStyle name="Texte explicatif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Maloba2/Documents/xwechat_files/wxid_0u77ob83ve1w12_d9b1/msg/file/2026-03/1_B2&#20179;&#24211;&#29289;&#36164;-2026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2"/>
      <sheetName val="Sheet2"/>
      <sheetName val="Sheet3"/>
      <sheetName val="Sheet4"/>
    </sheetNames>
    <sheetDataSet>
      <sheetData sheetId="0"/>
      <sheetData sheetId="1"/>
      <sheetData sheetId="2"/>
      <sheetData sheetId="3">
        <row r="2">
          <cell r="B2">
            <v>40697952</v>
          </cell>
          <cell r="C2">
            <v>3458</v>
          </cell>
          <cell r="E2" t="str">
            <v>PLANETARY REDUCER, 58,THICKENER 22K</v>
          </cell>
          <cell r="F2">
            <v>46022</v>
          </cell>
          <cell r="G2" t="str">
            <v>EA</v>
          </cell>
          <cell r="H2">
            <v>128236.42</v>
          </cell>
        </row>
        <row r="3">
          <cell r="B3">
            <v>40697952</v>
          </cell>
          <cell r="C3" t="str">
            <v>TSAF</v>
          </cell>
          <cell r="E3" t="str">
            <v>PLANETARY REDUCER, 58,THICKENER 22K</v>
          </cell>
          <cell r="F3">
            <v>46022</v>
          </cell>
          <cell r="G3" t="str">
            <v>EA</v>
          </cell>
          <cell r="H3">
            <v>120645.94</v>
          </cell>
        </row>
        <row r="4">
          <cell r="B4">
            <v>40691938</v>
          </cell>
          <cell r="C4">
            <v>3458</v>
          </cell>
          <cell r="E4" t="str">
            <v>METAL DETECTOR, 22K MAGNET,JYG-14B</v>
          </cell>
          <cell r="F4">
            <v>45553</v>
          </cell>
          <cell r="G4" t="str">
            <v>EA</v>
          </cell>
          <cell r="H4">
            <v>8529.61</v>
          </cell>
        </row>
        <row r="5">
          <cell r="B5">
            <v>40691943</v>
          </cell>
          <cell r="C5">
            <v>3458</v>
          </cell>
          <cell r="E5" t="str">
            <v>METAL DETECTOR,22K MAGNET,JYG-10B</v>
          </cell>
          <cell r="F5">
            <v>45553</v>
          </cell>
          <cell r="G5" t="str">
            <v>EA</v>
          </cell>
          <cell r="H5">
            <v>7563.06</v>
          </cell>
        </row>
        <row r="6">
          <cell r="B6">
            <v>40691938</v>
          </cell>
          <cell r="C6" t="str">
            <v>TSAF</v>
          </cell>
          <cell r="E6" t="str">
            <v>METAL DETECTOR, 22K MAGNET,JYG-14B</v>
          </cell>
          <cell r="F6">
            <v>45553</v>
          </cell>
          <cell r="G6" t="str">
            <v>EA</v>
          </cell>
          <cell r="H6">
            <v>7015.33</v>
          </cell>
        </row>
        <row r="7">
          <cell r="B7">
            <v>40627002</v>
          </cell>
          <cell r="C7">
            <v>3458</v>
          </cell>
          <cell r="E7" t="str">
            <v>SCREWS,CLAMPING BAR,MOVING JAW KIT</v>
          </cell>
          <cell r="F7">
            <v>46022</v>
          </cell>
          <cell r="G7" t="str">
            <v>EA</v>
          </cell>
          <cell r="H7">
            <v>6768.16</v>
          </cell>
        </row>
        <row r="8">
          <cell r="B8">
            <v>40691943</v>
          </cell>
          <cell r="C8" t="str">
            <v>TSAF</v>
          </cell>
          <cell r="E8" t="str">
            <v>METAL DETECTOR,22K MAGNET,JYG-10B</v>
          </cell>
          <cell r="F8">
            <v>45553</v>
          </cell>
          <cell r="G8" t="str">
            <v>EA</v>
          </cell>
          <cell r="H8">
            <v>5261.5</v>
          </cell>
        </row>
        <row r="9">
          <cell r="B9">
            <v>40688023</v>
          </cell>
          <cell r="C9">
            <v>3458</v>
          </cell>
          <cell r="E9" t="str">
            <v>SOFT START CMC-700/6-HX-0-ZT</v>
          </cell>
          <cell r="F9">
            <v>46022</v>
          </cell>
          <cell r="G9" t="str">
            <v>EA</v>
          </cell>
          <cell r="H9">
            <v>5017.8999999999996</v>
          </cell>
        </row>
        <row r="10">
          <cell r="B10">
            <v>40691015</v>
          </cell>
          <cell r="C10">
            <v>3458</v>
          </cell>
          <cell r="E10" t="str">
            <v>HYDRAULIC JACK ,HP100</v>
          </cell>
          <cell r="F10">
            <v>46022</v>
          </cell>
          <cell r="G10" t="str">
            <v>EA</v>
          </cell>
          <cell r="H10">
            <v>4960.13</v>
          </cell>
        </row>
        <row r="11">
          <cell r="B11">
            <v>40627002</v>
          </cell>
          <cell r="C11" t="str">
            <v>TSAF</v>
          </cell>
          <cell r="E11" t="str">
            <v>SCREWS,CLAMPING BAR,MOVING JAW KIT</v>
          </cell>
          <cell r="F11">
            <v>46022</v>
          </cell>
          <cell r="G11" t="str">
            <v>EA</v>
          </cell>
          <cell r="H11">
            <v>4238.6499999999996</v>
          </cell>
        </row>
        <row r="12">
          <cell r="B12">
            <v>40742367</v>
          </cell>
          <cell r="C12">
            <v>3458</v>
          </cell>
          <cell r="E12" t="str">
            <v>MOTOR,THREE-PHASE</v>
          </cell>
          <cell r="F12">
            <v>46022</v>
          </cell>
          <cell r="G12" t="str">
            <v>EA</v>
          </cell>
          <cell r="H12">
            <v>3893.85</v>
          </cell>
        </row>
        <row r="13">
          <cell r="B13">
            <v>40742366</v>
          </cell>
          <cell r="C13">
            <v>3458</v>
          </cell>
          <cell r="E13" t="str">
            <v>MOTOR,THREE-PHASE</v>
          </cell>
          <cell r="F13">
            <v>46022</v>
          </cell>
          <cell r="G13" t="str">
            <v>EA</v>
          </cell>
          <cell r="H13">
            <v>3216.65</v>
          </cell>
        </row>
        <row r="14">
          <cell r="B14">
            <v>40627003</v>
          </cell>
          <cell r="C14">
            <v>3458</v>
          </cell>
          <cell r="E14" t="str">
            <v>SCREWS,SUPPORT BAR,MOVING JAW KIT</v>
          </cell>
          <cell r="F14">
            <v>46000</v>
          </cell>
          <cell r="G14" t="str">
            <v>EA</v>
          </cell>
          <cell r="H14">
            <v>2335.3000000000002</v>
          </cell>
        </row>
        <row r="15">
          <cell r="B15">
            <v>40551932</v>
          </cell>
          <cell r="C15">
            <v>3458</v>
          </cell>
          <cell r="E15" t="str">
            <v>VALVE, BUTTERFLY, DN350, CL150, API 609,</v>
          </cell>
          <cell r="F15">
            <v>46000</v>
          </cell>
          <cell r="G15" t="str">
            <v>EA</v>
          </cell>
          <cell r="H15">
            <v>2207.66</v>
          </cell>
        </row>
        <row r="16">
          <cell r="B16">
            <v>40551932</v>
          </cell>
          <cell r="C16" t="str">
            <v>TSAF</v>
          </cell>
          <cell r="E16" t="str">
            <v>VALVE, BUTTERFLY, DN350, CL150, API 609,</v>
          </cell>
          <cell r="F16">
            <v>46000</v>
          </cell>
          <cell r="G16" t="str">
            <v>EA</v>
          </cell>
          <cell r="H16">
            <v>1736.31</v>
          </cell>
        </row>
        <row r="17">
          <cell r="B17">
            <v>40728077</v>
          </cell>
          <cell r="C17">
            <v>3458</v>
          </cell>
          <cell r="E17" t="str">
            <v>VALVE, AIR,SWITCH V  SZ73Y-10C DN80</v>
          </cell>
          <cell r="F17">
            <v>45553</v>
          </cell>
          <cell r="G17" t="str">
            <v>EA</v>
          </cell>
          <cell r="H17">
            <v>1684.49</v>
          </cell>
        </row>
        <row r="18">
          <cell r="B18">
            <v>40622597</v>
          </cell>
          <cell r="C18">
            <v>3458</v>
          </cell>
          <cell r="E18" t="str">
            <v>SCREEW, MIDDLE PLATE, STATIONARY JAW</v>
          </cell>
          <cell r="F18">
            <v>45552</v>
          </cell>
          <cell r="G18" t="str">
            <v>EA</v>
          </cell>
          <cell r="H18">
            <v>1680.79</v>
          </cell>
        </row>
        <row r="19">
          <cell r="B19">
            <v>40725061</v>
          </cell>
          <cell r="C19">
            <v>3458</v>
          </cell>
          <cell r="E19" t="str">
            <v>COOLING FAN,1625 1810 32</v>
          </cell>
          <cell r="F19">
            <v>46000</v>
          </cell>
          <cell r="G19" t="str">
            <v>EA</v>
          </cell>
          <cell r="H19">
            <v>1609.74</v>
          </cell>
        </row>
        <row r="20">
          <cell r="B20">
            <v>40622597</v>
          </cell>
          <cell r="C20" t="str">
            <v>TSAF</v>
          </cell>
          <cell r="E20" t="str">
            <v>SCREEW, MIDDLE PLATE, STATIONARY JAW</v>
          </cell>
          <cell r="F20">
            <v>45552</v>
          </cell>
          <cell r="G20" t="str">
            <v>EA</v>
          </cell>
          <cell r="H20">
            <v>1541.14</v>
          </cell>
        </row>
        <row r="21">
          <cell r="B21">
            <v>40130238</v>
          </cell>
          <cell r="C21">
            <v>3458</v>
          </cell>
          <cell r="E21" t="str">
            <v>OIL SEPARATOR, 54509427</v>
          </cell>
          <cell r="F21">
            <v>46000</v>
          </cell>
          <cell r="G21" t="str">
            <v>EA</v>
          </cell>
          <cell r="H21">
            <v>1510.98</v>
          </cell>
        </row>
        <row r="22">
          <cell r="B22">
            <v>40627003</v>
          </cell>
          <cell r="C22" t="str">
            <v>TSAF</v>
          </cell>
          <cell r="E22" t="str">
            <v>SCREWS,SUPPORT BAR,MOVING JAW KIT</v>
          </cell>
          <cell r="F22">
            <v>46000</v>
          </cell>
          <cell r="G22" t="str">
            <v>EA</v>
          </cell>
          <cell r="H22">
            <v>1499.59</v>
          </cell>
        </row>
        <row r="23">
          <cell r="B23">
            <v>40630890</v>
          </cell>
          <cell r="C23">
            <v>3458</v>
          </cell>
          <cell r="E23" t="str">
            <v>VALVE,GATE,KNIFE,DN150 CF3M</v>
          </cell>
          <cell r="F23">
            <v>45819</v>
          </cell>
          <cell r="G23" t="str">
            <v>EA</v>
          </cell>
          <cell r="H23">
            <v>1452.58</v>
          </cell>
        </row>
        <row r="24">
          <cell r="B24">
            <v>40087666</v>
          </cell>
          <cell r="C24" t="str">
            <v>TAMC</v>
          </cell>
          <cell r="E24" t="str">
            <v>VALVE, CHECK 3/4" 316 SS</v>
          </cell>
          <cell r="F24">
            <v>46000</v>
          </cell>
          <cell r="G24" t="str">
            <v>EA</v>
          </cell>
          <cell r="H24">
            <v>1414.47</v>
          </cell>
        </row>
        <row r="25">
          <cell r="B25">
            <v>40698503</v>
          </cell>
          <cell r="C25" t="str">
            <v>TSAF</v>
          </cell>
          <cell r="E25" t="str">
            <v>MAIN SHAFT RUBBER SEAL,22K, XCF/KYF-30</v>
          </cell>
          <cell r="F25">
            <v>46000</v>
          </cell>
          <cell r="G25" t="str">
            <v>EA</v>
          </cell>
          <cell r="H25">
            <v>1228.98</v>
          </cell>
        </row>
        <row r="26">
          <cell r="B26">
            <v>40698503</v>
          </cell>
          <cell r="C26" t="str">
            <v>TSAF</v>
          </cell>
          <cell r="E26" t="str">
            <v>MAIN SHAFT RUBBER SEAL,22K, XCF/KYF-30</v>
          </cell>
          <cell r="F26">
            <v>46000</v>
          </cell>
          <cell r="G26" t="str">
            <v>EA</v>
          </cell>
          <cell r="H26">
            <v>1228.98</v>
          </cell>
        </row>
        <row r="27">
          <cell r="B27">
            <v>40130238</v>
          </cell>
          <cell r="C27" t="str">
            <v>TSAF</v>
          </cell>
          <cell r="E27" t="str">
            <v>OIL SEPARATOR, 54509427</v>
          </cell>
          <cell r="F27">
            <v>46000</v>
          </cell>
          <cell r="G27" t="str">
            <v>EA</v>
          </cell>
          <cell r="H27">
            <v>1082.01</v>
          </cell>
        </row>
        <row r="28">
          <cell r="B28">
            <v>40693976</v>
          </cell>
          <cell r="C28">
            <v>3458</v>
          </cell>
          <cell r="E28" t="str">
            <v>BOTTOM SPOUT SHEATH</v>
          </cell>
          <cell r="F28">
            <v>46000</v>
          </cell>
          <cell r="G28" t="str">
            <v>EA</v>
          </cell>
          <cell r="H28">
            <v>888.08</v>
          </cell>
        </row>
        <row r="29">
          <cell r="B29">
            <v>40698503</v>
          </cell>
          <cell r="C29">
            <v>3458</v>
          </cell>
          <cell r="E29" t="str">
            <v>MAIN SHAFT RUBBER SEAL,22K, XCF/KYF-30</v>
          </cell>
          <cell r="F29">
            <v>46000</v>
          </cell>
          <cell r="G29" t="str">
            <v>EA</v>
          </cell>
          <cell r="H29">
            <v>877.5</v>
          </cell>
        </row>
        <row r="30">
          <cell r="B30">
            <v>40698503</v>
          </cell>
          <cell r="C30">
            <v>3458</v>
          </cell>
          <cell r="E30" t="str">
            <v>MAIN SHAFT RUBBER SEAL,22K, XCF/KYF-30</v>
          </cell>
          <cell r="F30">
            <v>46000</v>
          </cell>
          <cell r="G30" t="str">
            <v>EA</v>
          </cell>
          <cell r="H30">
            <v>877.5</v>
          </cell>
        </row>
        <row r="31">
          <cell r="B31">
            <v>40622594</v>
          </cell>
          <cell r="C31">
            <v>3458</v>
          </cell>
          <cell r="E31" t="str">
            <v>SCREW, M48,  JAW CRUSHER</v>
          </cell>
          <cell r="F31">
            <v>45552</v>
          </cell>
          <cell r="G31" t="str">
            <v>EA</v>
          </cell>
          <cell r="H31">
            <v>860.29</v>
          </cell>
        </row>
        <row r="32">
          <cell r="B32">
            <v>40770068</v>
          </cell>
          <cell r="C32">
            <v>3458</v>
          </cell>
          <cell r="E32" t="str">
            <v>PUMP,MEASURING</v>
          </cell>
          <cell r="F32">
            <v>45820</v>
          </cell>
          <cell r="G32" t="str">
            <v>EA</v>
          </cell>
          <cell r="H32">
            <v>829.69</v>
          </cell>
        </row>
        <row r="33">
          <cell r="B33">
            <v>40622594</v>
          </cell>
          <cell r="C33" t="str">
            <v>TSAF</v>
          </cell>
          <cell r="E33" t="str">
            <v>SCREW, M48,  JAW CRUSHER</v>
          </cell>
          <cell r="F33">
            <v>45552</v>
          </cell>
          <cell r="G33" t="str">
            <v>EA</v>
          </cell>
          <cell r="H33">
            <v>802.88</v>
          </cell>
        </row>
        <row r="34">
          <cell r="B34">
            <v>40704336</v>
          </cell>
          <cell r="C34">
            <v>3458</v>
          </cell>
          <cell r="E34" t="str">
            <v>KNIFE GATE VALVE DN80，PZ73Y-10RL</v>
          </cell>
          <cell r="F34">
            <v>45553</v>
          </cell>
          <cell r="G34" t="str">
            <v>EA</v>
          </cell>
          <cell r="H34">
            <v>741.88</v>
          </cell>
        </row>
        <row r="35">
          <cell r="B35">
            <v>40630883</v>
          </cell>
          <cell r="C35">
            <v>3458</v>
          </cell>
          <cell r="E35" t="str">
            <v>VALVE,GATE,KNIFE ,DN100 CF3M</v>
          </cell>
          <cell r="F35">
            <v>45819</v>
          </cell>
          <cell r="G35" t="str">
            <v>EA</v>
          </cell>
          <cell r="H35">
            <v>732.08</v>
          </cell>
        </row>
        <row r="36">
          <cell r="B36">
            <v>40804057</v>
          </cell>
          <cell r="C36">
            <v>3458</v>
          </cell>
          <cell r="E36" t="str">
            <v>MICROMETER,EXTERNAL,300-325MM</v>
          </cell>
          <cell r="F36">
            <v>45622</v>
          </cell>
          <cell r="G36" t="str">
            <v>EA</v>
          </cell>
          <cell r="H36">
            <v>709.14</v>
          </cell>
        </row>
        <row r="37">
          <cell r="B37">
            <v>40622592</v>
          </cell>
          <cell r="C37">
            <v>3458</v>
          </cell>
          <cell r="E37" t="str">
            <v>SCREW, M48X405, JAW CRUSHER</v>
          </cell>
          <cell r="F37">
            <v>45552</v>
          </cell>
          <cell r="G37" t="str">
            <v>EA</v>
          </cell>
          <cell r="H37">
            <v>705.95</v>
          </cell>
        </row>
        <row r="38">
          <cell r="B38">
            <v>40678791</v>
          </cell>
          <cell r="C38">
            <v>3458</v>
          </cell>
          <cell r="E38" t="str">
            <v>TORQUE WRENCH,IND ELEC HIGH 3500W AC220V</v>
          </cell>
          <cell r="F38">
            <v>45820</v>
          </cell>
          <cell r="G38" t="str">
            <v>EA</v>
          </cell>
          <cell r="H38">
            <v>681.49</v>
          </cell>
        </row>
        <row r="39">
          <cell r="B39">
            <v>40622592</v>
          </cell>
          <cell r="C39" t="str">
            <v>TSAF</v>
          </cell>
          <cell r="E39" t="str">
            <v>SCREW, M48X405, JAW CRUSHER</v>
          </cell>
          <cell r="F39">
            <v>45552</v>
          </cell>
          <cell r="G39" t="str">
            <v>EA</v>
          </cell>
          <cell r="H39">
            <v>667.77</v>
          </cell>
        </row>
        <row r="40">
          <cell r="B40">
            <v>40703854</v>
          </cell>
          <cell r="C40">
            <v>3458</v>
          </cell>
          <cell r="E40" t="str">
            <v>ROASTING BOILER GATE VALVE</v>
          </cell>
          <cell r="F40">
            <v>46000</v>
          </cell>
          <cell r="G40" t="str">
            <v>EA</v>
          </cell>
          <cell r="H40">
            <v>663.12</v>
          </cell>
        </row>
        <row r="41">
          <cell r="B41">
            <v>40703854</v>
          </cell>
          <cell r="C41">
            <v>3458</v>
          </cell>
          <cell r="E41" t="str">
            <v>ROASTING BOILER GATE VALVE</v>
          </cell>
          <cell r="F41">
            <v>46000</v>
          </cell>
          <cell r="G41" t="str">
            <v>EA</v>
          </cell>
          <cell r="H41">
            <v>663.12</v>
          </cell>
        </row>
        <row r="42">
          <cell r="B42">
            <v>40698493</v>
          </cell>
          <cell r="C42" t="str">
            <v>TSAF</v>
          </cell>
          <cell r="E42" t="str">
            <v>MAIN SHAFT RUBBER SEAL,22K, KYF-130</v>
          </cell>
          <cell r="F42">
            <v>46000</v>
          </cell>
          <cell r="G42" t="str">
            <v>EA</v>
          </cell>
          <cell r="H42">
            <v>662.78</v>
          </cell>
        </row>
        <row r="43">
          <cell r="B43">
            <v>40698493</v>
          </cell>
          <cell r="C43" t="str">
            <v>TSAF</v>
          </cell>
          <cell r="E43" t="str">
            <v>MAIN SHAFT RUBBER SEAL,22K, KYF-130</v>
          </cell>
          <cell r="F43">
            <v>46000</v>
          </cell>
          <cell r="G43" t="str">
            <v>EA</v>
          </cell>
          <cell r="H43">
            <v>662.78</v>
          </cell>
        </row>
        <row r="44">
          <cell r="B44">
            <v>40698493</v>
          </cell>
          <cell r="C44">
            <v>3458</v>
          </cell>
          <cell r="E44" t="str">
            <v>MAIN SHAFT RUBBER SEAL,22K, KYF-130</v>
          </cell>
          <cell r="F44">
            <v>46000</v>
          </cell>
          <cell r="G44" t="str">
            <v>EA</v>
          </cell>
          <cell r="H44">
            <v>637.79</v>
          </cell>
        </row>
        <row r="45">
          <cell r="B45">
            <v>40698493</v>
          </cell>
          <cell r="C45">
            <v>3458</v>
          </cell>
          <cell r="E45" t="str">
            <v>MAIN SHAFT RUBBER SEAL,22K, KYF-130</v>
          </cell>
          <cell r="F45">
            <v>46000</v>
          </cell>
          <cell r="G45" t="str">
            <v>EA</v>
          </cell>
          <cell r="H45">
            <v>637.79</v>
          </cell>
        </row>
        <row r="46">
          <cell r="B46">
            <v>40630526</v>
          </cell>
          <cell r="C46">
            <v>3458</v>
          </cell>
          <cell r="E46" t="str">
            <v>CABLE,I, PIT VIPER235</v>
          </cell>
          <cell r="F46">
            <v>45552</v>
          </cell>
          <cell r="G46" t="str">
            <v>EA</v>
          </cell>
          <cell r="H46">
            <v>637.32000000000005</v>
          </cell>
        </row>
        <row r="47">
          <cell r="B47">
            <v>40691146</v>
          </cell>
          <cell r="C47">
            <v>3458</v>
          </cell>
          <cell r="E47" t="str">
            <v>COUPLING SPIDER ,GRIZZLY 22K</v>
          </cell>
          <cell r="F47">
            <v>46000</v>
          </cell>
          <cell r="G47" t="str">
            <v>EA</v>
          </cell>
          <cell r="H47">
            <v>617.55999999999995</v>
          </cell>
        </row>
        <row r="48">
          <cell r="B48">
            <v>40660983</v>
          </cell>
          <cell r="C48">
            <v>3458</v>
          </cell>
          <cell r="E48" t="str">
            <v>CHECK VALVE, H44Y-10RL DN100</v>
          </cell>
          <cell r="F48">
            <v>45820</v>
          </cell>
          <cell r="G48" t="str">
            <v>EA</v>
          </cell>
          <cell r="H48">
            <v>605.37</v>
          </cell>
        </row>
        <row r="49">
          <cell r="B49">
            <v>40660983</v>
          </cell>
          <cell r="C49" t="str">
            <v>TSAF</v>
          </cell>
          <cell r="E49" t="str">
            <v>CHECK VALVE, H44Y-10RL DN100</v>
          </cell>
          <cell r="F49">
            <v>45820</v>
          </cell>
          <cell r="G49" t="str">
            <v>EA</v>
          </cell>
          <cell r="H49">
            <v>588.05999999999995</v>
          </cell>
        </row>
        <row r="50">
          <cell r="B50">
            <v>40630889</v>
          </cell>
          <cell r="C50">
            <v>3458</v>
          </cell>
          <cell r="E50" t="str">
            <v>VALVE,GATE,KNIFE,DN80 CF3M</v>
          </cell>
          <cell r="F50">
            <v>45819</v>
          </cell>
          <cell r="G50" t="str">
            <v>EA</v>
          </cell>
          <cell r="H50">
            <v>516.45000000000005</v>
          </cell>
        </row>
        <row r="51">
          <cell r="B51">
            <v>40676675</v>
          </cell>
          <cell r="C51" t="str">
            <v>TSAF</v>
          </cell>
          <cell r="E51" t="str">
            <v>EXPLOSION-PROOF FLOODLIGHT BFC8117-200W</v>
          </cell>
          <cell r="F51">
            <v>45820</v>
          </cell>
          <cell r="G51" t="str">
            <v>EA</v>
          </cell>
          <cell r="H51">
            <v>513.05999999999995</v>
          </cell>
        </row>
        <row r="52">
          <cell r="B52">
            <v>40740682</v>
          </cell>
          <cell r="C52">
            <v>3458</v>
          </cell>
          <cell r="E52" t="str">
            <v>PNEUM BALL VALVE, Q641F-16C,PN=25, RPTFE</v>
          </cell>
          <cell r="F52">
            <v>45820</v>
          </cell>
          <cell r="G52" t="str">
            <v>EA</v>
          </cell>
          <cell r="H52">
            <v>494.26</v>
          </cell>
        </row>
        <row r="53">
          <cell r="B53">
            <v>40703899</v>
          </cell>
          <cell r="C53">
            <v>3458</v>
          </cell>
          <cell r="E53" t="str">
            <v>BURNING TORCH</v>
          </cell>
          <cell r="F53">
            <v>46000</v>
          </cell>
          <cell r="G53" t="str">
            <v>EA</v>
          </cell>
          <cell r="H53">
            <v>458.95</v>
          </cell>
        </row>
        <row r="54">
          <cell r="B54">
            <v>40691149</v>
          </cell>
          <cell r="C54">
            <v>3458</v>
          </cell>
          <cell r="E54" t="str">
            <v>SPRING KIERREJOUSI ,GRIZZLY 22K</v>
          </cell>
          <cell r="F54">
            <v>46000</v>
          </cell>
          <cell r="G54" t="str">
            <v>EA</v>
          </cell>
          <cell r="H54">
            <v>415.2</v>
          </cell>
        </row>
        <row r="55">
          <cell r="B55">
            <v>40678791</v>
          </cell>
          <cell r="C55" t="str">
            <v>TSAF</v>
          </cell>
          <cell r="E55" t="str">
            <v>TORQUE WRENCH,IND ELEC HIGH 3500W AC220V</v>
          </cell>
          <cell r="F55">
            <v>45820</v>
          </cell>
          <cell r="G55" t="str">
            <v>EA</v>
          </cell>
          <cell r="H55">
            <v>367.19</v>
          </cell>
        </row>
        <row r="56">
          <cell r="B56">
            <v>40622577</v>
          </cell>
          <cell r="C56">
            <v>3458</v>
          </cell>
          <cell r="E56" t="str">
            <v>PIN, F RETRACTION ROD JAW CRUSHER</v>
          </cell>
          <cell r="F56">
            <v>46001</v>
          </cell>
          <cell r="G56" t="str">
            <v>EA</v>
          </cell>
          <cell r="H56">
            <v>344.01</v>
          </cell>
        </row>
        <row r="57">
          <cell r="B57">
            <v>40696981</v>
          </cell>
          <cell r="C57">
            <v>3458</v>
          </cell>
          <cell r="E57" t="str">
            <v>G1 AIR CONTROL WATER VALVE</v>
          </cell>
          <cell r="F57">
            <v>45553</v>
          </cell>
          <cell r="G57" t="str">
            <v>EA</v>
          </cell>
          <cell r="H57">
            <v>340.4</v>
          </cell>
        </row>
        <row r="58">
          <cell r="B58">
            <v>40675887</v>
          </cell>
          <cell r="C58" t="str">
            <v>TSAF</v>
          </cell>
          <cell r="E58" t="str">
            <v>PORTABLE AXIAL FLOW FAN</v>
          </cell>
          <cell r="F58">
            <v>46000</v>
          </cell>
          <cell r="G58" t="str">
            <v>EA</v>
          </cell>
          <cell r="H58">
            <v>337.44</v>
          </cell>
        </row>
        <row r="59">
          <cell r="B59">
            <v>40696981</v>
          </cell>
          <cell r="C59" t="str">
            <v>TSAF</v>
          </cell>
          <cell r="E59" t="str">
            <v>G1 AIR CONTROL WATER VALVE</v>
          </cell>
          <cell r="F59">
            <v>45553</v>
          </cell>
          <cell r="G59" t="str">
            <v>EA</v>
          </cell>
          <cell r="H59">
            <v>335.18</v>
          </cell>
        </row>
        <row r="60">
          <cell r="B60">
            <v>40678790</v>
          </cell>
          <cell r="C60" t="str">
            <v>TSAF</v>
          </cell>
          <cell r="E60" t="str">
            <v>ELECTRIC WRENCH, GDF18V-400</v>
          </cell>
          <cell r="F60">
            <v>45552</v>
          </cell>
          <cell r="G60" t="str">
            <v>EA</v>
          </cell>
          <cell r="H60">
            <v>332.22</v>
          </cell>
        </row>
        <row r="61">
          <cell r="B61">
            <v>40676675</v>
          </cell>
          <cell r="C61">
            <v>3458</v>
          </cell>
          <cell r="E61" t="str">
            <v>EXPLOSION-PROOF FLOODLIGHT BFC8117-200W</v>
          </cell>
          <cell r="F61">
            <v>45820</v>
          </cell>
          <cell r="G61" t="str">
            <v>EA</v>
          </cell>
          <cell r="H61">
            <v>293.52999999999997</v>
          </cell>
        </row>
        <row r="62">
          <cell r="B62">
            <v>40750404</v>
          </cell>
          <cell r="C62">
            <v>3458</v>
          </cell>
          <cell r="E62" t="str">
            <v>POWER SUPPLY,SWITCHING,24VDC480W</v>
          </cell>
          <cell r="F62">
            <v>46000</v>
          </cell>
          <cell r="G62" t="str">
            <v>EA</v>
          </cell>
          <cell r="H62">
            <v>289.23</v>
          </cell>
        </row>
        <row r="63">
          <cell r="B63">
            <v>40684084</v>
          </cell>
          <cell r="C63">
            <v>3458</v>
          </cell>
          <cell r="E63" t="str">
            <v>PROFILE CUTTING MACHINE</v>
          </cell>
          <cell r="F63">
            <v>45552</v>
          </cell>
          <cell r="G63" t="str">
            <v>EA</v>
          </cell>
          <cell r="H63">
            <v>287.47000000000003</v>
          </cell>
        </row>
        <row r="64">
          <cell r="B64">
            <v>40027136</v>
          </cell>
          <cell r="C64">
            <v>3458</v>
          </cell>
          <cell r="E64" t="str">
            <v>FILTER ELEMENT, COOLANT OIL, SPIN-ON,</v>
          </cell>
          <cell r="F64">
            <v>46000</v>
          </cell>
          <cell r="G64" t="str">
            <v>EA</v>
          </cell>
          <cell r="H64">
            <v>279.11</v>
          </cell>
        </row>
        <row r="65">
          <cell r="B65">
            <v>40779147</v>
          </cell>
          <cell r="C65">
            <v>3458</v>
          </cell>
          <cell r="E65" t="str">
            <v>VALVE BODY.PNEUMATIC BUTTERFLY VALVE</v>
          </cell>
          <cell r="F65">
            <v>45820</v>
          </cell>
          <cell r="G65" t="str">
            <v>EA</v>
          </cell>
          <cell r="H65">
            <v>277.98</v>
          </cell>
        </row>
        <row r="66">
          <cell r="B66">
            <v>40725333</v>
          </cell>
          <cell r="C66">
            <v>3458</v>
          </cell>
          <cell r="E66" t="str">
            <v>KNIFE GATE VALVE SZ73Y-10P DN50 PN10 CF8</v>
          </cell>
          <cell r="F66">
            <v>45553</v>
          </cell>
          <cell r="G66" t="str">
            <v>EA</v>
          </cell>
          <cell r="H66">
            <v>269.41000000000003</v>
          </cell>
        </row>
        <row r="67">
          <cell r="B67">
            <v>40685451</v>
          </cell>
          <cell r="C67">
            <v>3458</v>
          </cell>
          <cell r="E67" t="str">
            <v>MONITOR</v>
          </cell>
          <cell r="F67">
            <v>45552</v>
          </cell>
          <cell r="G67" t="str">
            <v>EA</v>
          </cell>
          <cell r="H67">
            <v>267.49</v>
          </cell>
        </row>
        <row r="68">
          <cell r="B68">
            <v>40635849</v>
          </cell>
          <cell r="C68">
            <v>3458</v>
          </cell>
          <cell r="E68" t="str">
            <v>FILTER,AIR,M110 COMPRESSOR,10K</v>
          </cell>
          <cell r="F68">
            <v>46000</v>
          </cell>
          <cell r="G68" t="str">
            <v>EA</v>
          </cell>
          <cell r="H68">
            <v>265.57</v>
          </cell>
        </row>
        <row r="69">
          <cell r="B69">
            <v>40675887</v>
          </cell>
          <cell r="C69">
            <v>3458</v>
          </cell>
          <cell r="E69" t="str">
            <v>PORTABLE AXIAL FLOW FAN</v>
          </cell>
          <cell r="F69">
            <v>46000</v>
          </cell>
          <cell r="G69" t="str">
            <v>EA</v>
          </cell>
          <cell r="H69">
            <v>265.20999999999998</v>
          </cell>
        </row>
        <row r="70">
          <cell r="B70">
            <v>40635849</v>
          </cell>
          <cell r="C70" t="str">
            <v>TSAF</v>
          </cell>
          <cell r="E70" t="str">
            <v>FILTER,AIR,M110 COMPRESSOR,10K</v>
          </cell>
          <cell r="F70">
            <v>46000</v>
          </cell>
          <cell r="G70" t="str">
            <v>EA</v>
          </cell>
          <cell r="H70">
            <v>261.35000000000002</v>
          </cell>
        </row>
        <row r="71">
          <cell r="B71">
            <v>40750403</v>
          </cell>
          <cell r="C71">
            <v>3458</v>
          </cell>
          <cell r="E71" t="str">
            <v>POWER SUPPLY,SWITCHING,24VDC240W</v>
          </cell>
          <cell r="F71">
            <v>46000</v>
          </cell>
          <cell r="G71" t="str">
            <v>EA</v>
          </cell>
          <cell r="H71">
            <v>255.86</v>
          </cell>
        </row>
        <row r="72">
          <cell r="B72">
            <v>40750402</v>
          </cell>
          <cell r="C72">
            <v>3458</v>
          </cell>
          <cell r="E72" t="str">
            <v>POWER SUPPLY,SWITCHING,24VDC120W</v>
          </cell>
          <cell r="F72">
            <v>46000</v>
          </cell>
          <cell r="G72" t="str">
            <v>EA</v>
          </cell>
          <cell r="H72">
            <v>244.73</v>
          </cell>
        </row>
        <row r="73">
          <cell r="B73">
            <v>40684084</v>
          </cell>
          <cell r="C73" t="str">
            <v>TSAF</v>
          </cell>
          <cell r="E73" t="str">
            <v>PROFILE CUTTING MACHINE</v>
          </cell>
          <cell r="F73">
            <v>45552</v>
          </cell>
          <cell r="G73" t="str">
            <v>EA</v>
          </cell>
          <cell r="H73">
            <v>244</v>
          </cell>
        </row>
        <row r="74">
          <cell r="B74">
            <v>40640059</v>
          </cell>
          <cell r="C74">
            <v>3458</v>
          </cell>
          <cell r="E74" t="str">
            <v>VALVE,CHECK,DN50</v>
          </cell>
          <cell r="F74">
            <v>45819</v>
          </cell>
          <cell r="G74" t="str">
            <v>EA</v>
          </cell>
          <cell r="H74">
            <v>240.23</v>
          </cell>
        </row>
        <row r="75">
          <cell r="B75">
            <v>130800419</v>
          </cell>
          <cell r="C75">
            <v>3458</v>
          </cell>
          <cell r="E75" t="str">
            <v>DC Arc WM!ZX7-400GTE STD Configuration</v>
          </cell>
          <cell r="F75">
            <v>45899</v>
          </cell>
          <cell r="G75" t="str">
            <v>SET</v>
          </cell>
          <cell r="H75">
            <v>236.24</v>
          </cell>
        </row>
        <row r="76">
          <cell r="B76">
            <v>40790917</v>
          </cell>
          <cell r="C76">
            <v>3458</v>
          </cell>
          <cell r="E76" t="str">
            <v>TOPCOAT,ACRYLIC POLYURETHANE ANTI-CO</v>
          </cell>
          <cell r="F76">
            <v>45820</v>
          </cell>
          <cell r="G76" t="str">
            <v>EA</v>
          </cell>
          <cell r="H76">
            <v>235.13</v>
          </cell>
        </row>
        <row r="77">
          <cell r="B77">
            <v>40751795</v>
          </cell>
          <cell r="C77">
            <v>3458</v>
          </cell>
          <cell r="E77" t="str">
            <v>OIL SEPARATION,YH-30Z</v>
          </cell>
          <cell r="F77">
            <v>46000</v>
          </cell>
          <cell r="G77" t="str">
            <v>EA</v>
          </cell>
          <cell r="H77">
            <v>230.74</v>
          </cell>
        </row>
        <row r="78">
          <cell r="B78">
            <v>40651778</v>
          </cell>
          <cell r="C78">
            <v>3458</v>
          </cell>
          <cell r="E78" t="str">
            <v>VALVE, BALL, DN80 PN10 PP GB/T9119-2000</v>
          </cell>
          <cell r="F78">
            <v>45820</v>
          </cell>
          <cell r="G78" t="str">
            <v>EA</v>
          </cell>
          <cell r="H78">
            <v>223.71</v>
          </cell>
        </row>
        <row r="79">
          <cell r="B79">
            <v>40725326</v>
          </cell>
          <cell r="C79">
            <v>3458</v>
          </cell>
          <cell r="E79" t="str">
            <v>SAFTY VALVE AF(AQF）-E50/0.8 DN50 WCB</v>
          </cell>
          <cell r="F79">
            <v>45553</v>
          </cell>
          <cell r="G79" t="str">
            <v>EA</v>
          </cell>
          <cell r="H79">
            <v>221.92</v>
          </cell>
        </row>
        <row r="80">
          <cell r="B80">
            <v>40725326</v>
          </cell>
          <cell r="C80">
            <v>3458</v>
          </cell>
          <cell r="E80" t="str">
            <v>SAFTY VALVE AF(AQF）-E50/0.8 DN50 WCB</v>
          </cell>
          <cell r="F80">
            <v>45553</v>
          </cell>
          <cell r="G80" t="str">
            <v>EA</v>
          </cell>
          <cell r="H80">
            <v>221.92</v>
          </cell>
        </row>
        <row r="81">
          <cell r="B81">
            <v>40790920</v>
          </cell>
          <cell r="C81">
            <v>3458</v>
          </cell>
          <cell r="E81" t="str">
            <v>PRIMER,EPOXY ZINC PHOSPHATE ANTI-CO</v>
          </cell>
          <cell r="F81">
            <v>45820</v>
          </cell>
          <cell r="G81" t="str">
            <v>EA</v>
          </cell>
          <cell r="H81">
            <v>216.96</v>
          </cell>
        </row>
        <row r="82">
          <cell r="B82">
            <v>40702867</v>
          </cell>
          <cell r="C82">
            <v>3458</v>
          </cell>
          <cell r="E82" t="str">
            <v>BEARING,6228C3</v>
          </cell>
          <cell r="F82">
            <v>46000</v>
          </cell>
          <cell r="G82" t="str">
            <v>EA</v>
          </cell>
          <cell r="H82">
            <v>210.13</v>
          </cell>
        </row>
        <row r="83">
          <cell r="B83">
            <v>40251949</v>
          </cell>
          <cell r="C83" t="str">
            <v>TSAF</v>
          </cell>
          <cell r="E83" t="str">
            <v>VALVE TYPE:  BALL            SIZE: 50MM</v>
          </cell>
          <cell r="F83">
            <v>45552</v>
          </cell>
          <cell r="G83" t="str">
            <v>EA</v>
          </cell>
          <cell r="H83">
            <v>203.21</v>
          </cell>
        </row>
        <row r="84">
          <cell r="B84">
            <v>40251949</v>
          </cell>
          <cell r="C84" t="str">
            <v>TSAF</v>
          </cell>
          <cell r="E84" t="str">
            <v>VALVE TYPE:  BALL            SIZE: 50MM</v>
          </cell>
          <cell r="F84">
            <v>45552</v>
          </cell>
          <cell r="G84" t="str">
            <v>EA</v>
          </cell>
          <cell r="H84">
            <v>203.21</v>
          </cell>
        </row>
        <row r="85">
          <cell r="B85">
            <v>40703435</v>
          </cell>
          <cell r="C85">
            <v>3458</v>
          </cell>
          <cell r="E85" t="str">
            <v>ELECTRIC JACK HAMMER HILTI TE 3000-AVR</v>
          </cell>
          <cell r="F85">
            <v>45553</v>
          </cell>
          <cell r="G85" t="str">
            <v>EA</v>
          </cell>
          <cell r="H85">
            <v>201.84</v>
          </cell>
        </row>
        <row r="86">
          <cell r="B86">
            <v>40698358</v>
          </cell>
          <cell r="C86">
            <v>3458</v>
          </cell>
          <cell r="E86" t="str">
            <v>THREE PIECE SOCKET WELD BALL VALVE,1</v>
          </cell>
          <cell r="F86">
            <v>46000</v>
          </cell>
          <cell r="G86" t="str">
            <v>EA</v>
          </cell>
          <cell r="H86">
            <v>195.87</v>
          </cell>
        </row>
        <row r="87">
          <cell r="B87">
            <v>40698358</v>
          </cell>
          <cell r="C87" t="str">
            <v>TSAF</v>
          </cell>
          <cell r="E87" t="str">
            <v>THREE PIECE SOCKET WELD BALL VALVE,1</v>
          </cell>
          <cell r="F87">
            <v>46000</v>
          </cell>
          <cell r="G87" t="str">
            <v>EA</v>
          </cell>
          <cell r="H87">
            <v>193.9</v>
          </cell>
        </row>
        <row r="88">
          <cell r="B88">
            <v>40027136</v>
          </cell>
          <cell r="C88" t="str">
            <v>TSAF</v>
          </cell>
          <cell r="E88" t="str">
            <v>FILTER ELEMENT, COOLANT OIL, SPIN-ON,</v>
          </cell>
          <cell r="F88">
            <v>46000</v>
          </cell>
          <cell r="G88" t="str">
            <v>EA</v>
          </cell>
          <cell r="H88">
            <v>193.9</v>
          </cell>
        </row>
        <row r="89">
          <cell r="B89">
            <v>40154808</v>
          </cell>
          <cell r="C89" t="str">
            <v>TSAF</v>
          </cell>
          <cell r="E89" t="str">
            <v>MOPHEAD</v>
          </cell>
          <cell r="F89">
            <v>45930</v>
          </cell>
          <cell r="G89" t="str">
            <v>EA</v>
          </cell>
          <cell r="H89">
            <v>192.43</v>
          </cell>
        </row>
        <row r="90">
          <cell r="B90">
            <v>40137799</v>
          </cell>
          <cell r="C90" t="str">
            <v>TSAF</v>
          </cell>
          <cell r="E90" t="str">
            <v>VALVE, BALL MANUALLY OPERATED, 1/2",</v>
          </cell>
          <cell r="F90">
            <v>45552</v>
          </cell>
          <cell r="G90" t="str">
            <v>EA</v>
          </cell>
          <cell r="H90">
            <v>188.47</v>
          </cell>
        </row>
        <row r="91">
          <cell r="B91">
            <v>40779838</v>
          </cell>
          <cell r="C91">
            <v>3458</v>
          </cell>
          <cell r="E91" t="str">
            <v>FAN,RETURN PUMP,80UB-ZK50-35/35C3L</v>
          </cell>
          <cell r="F91">
            <v>45820</v>
          </cell>
          <cell r="G91" t="str">
            <v>SET</v>
          </cell>
          <cell r="H91">
            <v>179.99</v>
          </cell>
        </row>
        <row r="92">
          <cell r="B92">
            <v>40131323</v>
          </cell>
          <cell r="C92" t="str">
            <v>TSAF</v>
          </cell>
          <cell r="E92" t="str">
            <v>TOWELS, SHOP</v>
          </cell>
          <cell r="F92">
            <v>45975</v>
          </cell>
          <cell r="G92" t="str">
            <v>EA</v>
          </cell>
          <cell r="H92">
            <v>179.29</v>
          </cell>
        </row>
        <row r="93">
          <cell r="B93">
            <v>40759898</v>
          </cell>
          <cell r="C93">
            <v>3458</v>
          </cell>
          <cell r="E93" t="str">
            <v>BATTERY,UPS,12V/65AH,6-GFM-65</v>
          </cell>
          <cell r="F93">
            <v>45820</v>
          </cell>
          <cell r="G93" t="str">
            <v>EA</v>
          </cell>
          <cell r="H93">
            <v>176.39</v>
          </cell>
        </row>
        <row r="94">
          <cell r="B94">
            <v>40667523</v>
          </cell>
          <cell r="C94">
            <v>3458</v>
          </cell>
          <cell r="E94" t="str">
            <v>COPPER ROD；Ф60MMX500MM,SH</v>
          </cell>
          <cell r="F94">
            <v>45820</v>
          </cell>
          <cell r="G94" t="str">
            <v>EA</v>
          </cell>
          <cell r="H94">
            <v>172.28</v>
          </cell>
        </row>
        <row r="95">
          <cell r="B95">
            <v>40087666</v>
          </cell>
          <cell r="C95">
            <v>3458</v>
          </cell>
          <cell r="E95" t="str">
            <v>VALVE, CHECK 3/4" 316 SS</v>
          </cell>
          <cell r="F95">
            <v>46000</v>
          </cell>
          <cell r="G95" t="str">
            <v>EA</v>
          </cell>
          <cell r="H95">
            <v>169.58</v>
          </cell>
        </row>
        <row r="96">
          <cell r="B96">
            <v>40674820</v>
          </cell>
          <cell r="C96">
            <v>3458</v>
          </cell>
          <cell r="E96" t="str">
            <v>ZINC OXIDE LIGHTNING ARRESTER</v>
          </cell>
          <cell r="F96">
            <v>45820</v>
          </cell>
          <cell r="G96" t="str">
            <v>EA</v>
          </cell>
          <cell r="H96">
            <v>165.57</v>
          </cell>
        </row>
        <row r="97">
          <cell r="B97">
            <v>40774487</v>
          </cell>
          <cell r="C97">
            <v>3458</v>
          </cell>
          <cell r="E97" t="str">
            <v>LIGHT,HIGH CEILING,NGC9826</v>
          </cell>
          <cell r="F97">
            <v>45820</v>
          </cell>
          <cell r="G97" t="str">
            <v>EA</v>
          </cell>
          <cell r="H97">
            <v>163.31</v>
          </cell>
        </row>
        <row r="98">
          <cell r="B98">
            <v>40622577</v>
          </cell>
          <cell r="C98" t="str">
            <v>TSAF</v>
          </cell>
          <cell r="E98" t="str">
            <v>PIN, F RETRACTION ROD JAW CRUSHER</v>
          </cell>
          <cell r="F98">
            <v>46001</v>
          </cell>
          <cell r="G98" t="str">
            <v>EA</v>
          </cell>
          <cell r="H98">
            <v>161.69</v>
          </cell>
        </row>
        <row r="99">
          <cell r="B99">
            <v>40676680</v>
          </cell>
          <cell r="C99" t="str">
            <v>TSAF</v>
          </cell>
          <cell r="E99" t="str">
            <v>EXPLOSION-PROOF FACTORY FLOODLIGHT</v>
          </cell>
          <cell r="F99">
            <v>45820</v>
          </cell>
          <cell r="G99" t="str">
            <v>EA</v>
          </cell>
          <cell r="H99">
            <v>155.07</v>
          </cell>
        </row>
        <row r="100">
          <cell r="B100">
            <v>40754480</v>
          </cell>
          <cell r="C100">
            <v>3458</v>
          </cell>
          <cell r="E100" t="str">
            <v>HAND CHAIN HOIST,5TX3M</v>
          </cell>
          <cell r="F100">
            <v>45820</v>
          </cell>
          <cell r="G100" t="str">
            <v>EA</v>
          </cell>
          <cell r="H100">
            <v>151.06</v>
          </cell>
        </row>
        <row r="101">
          <cell r="B101">
            <v>130600028</v>
          </cell>
          <cell r="C101">
            <v>3458</v>
          </cell>
          <cell r="E101" t="str">
            <v>数显游标卡尺!150MM</v>
          </cell>
          <cell r="F101">
            <v>45899</v>
          </cell>
          <cell r="G101" t="str">
            <v>EA</v>
          </cell>
          <cell r="H101">
            <v>144.96</v>
          </cell>
        </row>
        <row r="102">
          <cell r="B102">
            <v>40676678</v>
          </cell>
          <cell r="C102" t="str">
            <v>TSAF</v>
          </cell>
          <cell r="E102" t="str">
            <v>THREE-PROOF FLOODLIGHT NFC9192-70W</v>
          </cell>
          <cell r="F102">
            <v>45820</v>
          </cell>
          <cell r="G102" t="str">
            <v>EA</v>
          </cell>
          <cell r="H102">
            <v>143.91999999999999</v>
          </cell>
        </row>
        <row r="103">
          <cell r="B103">
            <v>40627001</v>
          </cell>
          <cell r="C103">
            <v>3458</v>
          </cell>
          <cell r="E103" t="str">
            <v>SCREW,M6S 30X180 8.8</v>
          </cell>
          <cell r="F103">
            <v>45819</v>
          </cell>
          <cell r="G103" t="str">
            <v>EA</v>
          </cell>
          <cell r="H103">
            <v>141.80000000000001</v>
          </cell>
        </row>
        <row r="104">
          <cell r="B104">
            <v>40703997</v>
          </cell>
          <cell r="C104">
            <v>3458</v>
          </cell>
          <cell r="E104" t="str">
            <v>THERMOMETER 0~300℃</v>
          </cell>
          <cell r="F104">
            <v>46000</v>
          </cell>
          <cell r="G104" t="str">
            <v>EA</v>
          </cell>
          <cell r="H104">
            <v>138.38999999999999</v>
          </cell>
        </row>
        <row r="105">
          <cell r="B105">
            <v>131100641</v>
          </cell>
          <cell r="C105">
            <v>3458</v>
          </cell>
          <cell r="E105" t="str">
            <v>Wire wheel!100×16mm</v>
          </cell>
          <cell r="F105">
            <v>45899</v>
          </cell>
          <cell r="G105" t="str">
            <v>CV</v>
          </cell>
          <cell r="H105">
            <v>134.77000000000001</v>
          </cell>
        </row>
        <row r="106">
          <cell r="B106">
            <v>40627001</v>
          </cell>
          <cell r="C106" t="str">
            <v>TSAF</v>
          </cell>
          <cell r="E106" t="str">
            <v>SCREW,M6S 30X180 8.8</v>
          </cell>
          <cell r="F106">
            <v>45819</v>
          </cell>
          <cell r="G106" t="str">
            <v>EA</v>
          </cell>
          <cell r="H106">
            <v>134.26</v>
          </cell>
        </row>
        <row r="107">
          <cell r="B107">
            <v>40248903</v>
          </cell>
          <cell r="C107" t="str">
            <v>TSAF</v>
          </cell>
          <cell r="E107" t="str">
            <v>BLOCK, HOIST CHAIN, 1 TON</v>
          </cell>
          <cell r="F107">
            <v>45552</v>
          </cell>
          <cell r="G107" t="str">
            <v>EA</v>
          </cell>
          <cell r="H107">
            <v>130.18</v>
          </cell>
        </row>
        <row r="108">
          <cell r="B108">
            <v>40678845</v>
          </cell>
          <cell r="C108" t="str">
            <v>TSAF</v>
          </cell>
          <cell r="E108" t="str">
            <v>CHAIN BLOCK, 5T</v>
          </cell>
          <cell r="F108">
            <v>45552</v>
          </cell>
          <cell r="G108" t="str">
            <v>EA</v>
          </cell>
          <cell r="H108">
            <v>124.15</v>
          </cell>
        </row>
        <row r="109">
          <cell r="B109">
            <v>40676677</v>
          </cell>
          <cell r="C109" t="str">
            <v>TSAF</v>
          </cell>
          <cell r="E109" t="str">
            <v>THREE-PROOF FLOODLIGHT NFC9192-50W</v>
          </cell>
          <cell r="F109">
            <v>45820</v>
          </cell>
          <cell r="G109" t="str">
            <v>EA</v>
          </cell>
          <cell r="H109">
            <v>122.85</v>
          </cell>
        </row>
        <row r="110">
          <cell r="B110">
            <v>40759899</v>
          </cell>
          <cell r="C110">
            <v>3458</v>
          </cell>
          <cell r="E110" t="str">
            <v>BATTERY,UPS,12V/38AH,6-GFM-38</v>
          </cell>
          <cell r="F110">
            <v>45820</v>
          </cell>
          <cell r="G110" t="str">
            <v>EA</v>
          </cell>
          <cell r="H110">
            <v>122.12</v>
          </cell>
        </row>
        <row r="111">
          <cell r="B111">
            <v>130600193</v>
          </cell>
          <cell r="C111">
            <v>3458</v>
          </cell>
          <cell r="E111" t="str">
            <v>Laser level!LM576LD-520NM</v>
          </cell>
          <cell r="F111">
            <v>45899</v>
          </cell>
          <cell r="G111" t="str">
            <v>EA</v>
          </cell>
          <cell r="H111">
            <v>120.26</v>
          </cell>
        </row>
        <row r="112">
          <cell r="B112">
            <v>40751797</v>
          </cell>
          <cell r="C112">
            <v>3458</v>
          </cell>
          <cell r="E112" t="str">
            <v>AIR FILTER,YH-30Z</v>
          </cell>
          <cell r="F112">
            <v>46000</v>
          </cell>
          <cell r="G112" t="str">
            <v>EA</v>
          </cell>
          <cell r="H112">
            <v>116.74</v>
          </cell>
        </row>
        <row r="113">
          <cell r="B113">
            <v>40703989</v>
          </cell>
          <cell r="C113">
            <v>3458</v>
          </cell>
          <cell r="E113" t="str">
            <v>O-RING SEAL</v>
          </cell>
          <cell r="F113">
            <v>45553</v>
          </cell>
          <cell r="G113" t="str">
            <v>EA</v>
          </cell>
          <cell r="H113">
            <v>115.21</v>
          </cell>
        </row>
        <row r="114">
          <cell r="B114">
            <v>130401244</v>
          </cell>
          <cell r="C114">
            <v>3458</v>
          </cell>
          <cell r="E114" t="str">
            <v>Set!RW Kit!GW-321120!20 pcs!6-32 mm</v>
          </cell>
          <cell r="F114">
            <v>45899</v>
          </cell>
          <cell r="G114" t="str">
            <v>SET</v>
          </cell>
          <cell r="H114">
            <v>114.5</v>
          </cell>
        </row>
        <row r="115">
          <cell r="B115">
            <v>40164238</v>
          </cell>
          <cell r="C115">
            <v>3458</v>
          </cell>
          <cell r="E115" t="str">
            <v>PAINT, ANTI-RUST NUROOF, ACRYLIC, GREEN</v>
          </cell>
          <cell r="F115">
            <v>45819</v>
          </cell>
          <cell r="G115" t="str">
            <v>PL</v>
          </cell>
          <cell r="H115">
            <v>112.73</v>
          </cell>
        </row>
        <row r="116">
          <cell r="B116">
            <v>40127274</v>
          </cell>
          <cell r="C116">
            <v>3458</v>
          </cell>
          <cell r="E116" t="str">
            <v>BEARING, BALL UNMOUNTED, 6020ZZ</v>
          </cell>
          <cell r="F116">
            <v>45819</v>
          </cell>
          <cell r="G116" t="str">
            <v>EA</v>
          </cell>
          <cell r="H116">
            <v>111.26</v>
          </cell>
        </row>
        <row r="117">
          <cell r="B117">
            <v>40666981</v>
          </cell>
          <cell r="C117" t="str">
            <v>TSAF</v>
          </cell>
          <cell r="E117" t="str">
            <v>VALVE BALL Q11N-1000WOGRL DN15</v>
          </cell>
          <cell r="F117">
            <v>46000</v>
          </cell>
          <cell r="G117" t="str">
            <v>EA</v>
          </cell>
          <cell r="H117">
            <v>110.44</v>
          </cell>
        </row>
        <row r="118">
          <cell r="B118">
            <v>40622690</v>
          </cell>
          <cell r="C118">
            <v>3458</v>
          </cell>
          <cell r="E118" t="str">
            <v>SCREW, M6S 36X180 8.8, JAW CRUSHER</v>
          </cell>
          <cell r="F118">
            <v>46001</v>
          </cell>
          <cell r="G118" t="str">
            <v>EA</v>
          </cell>
          <cell r="H118">
            <v>107.09</v>
          </cell>
        </row>
        <row r="119">
          <cell r="B119">
            <v>40678845</v>
          </cell>
          <cell r="C119">
            <v>3458</v>
          </cell>
          <cell r="E119" t="str">
            <v>CHAIN BLOCK, 5T</v>
          </cell>
          <cell r="F119">
            <v>45552</v>
          </cell>
          <cell r="G119" t="str">
            <v>EA</v>
          </cell>
          <cell r="H119">
            <v>100.65</v>
          </cell>
        </row>
        <row r="120">
          <cell r="B120">
            <v>40722472</v>
          </cell>
          <cell r="C120">
            <v>3458</v>
          </cell>
          <cell r="E120" t="str">
            <v>VALVE, BALL, Q41F46-10C  DN32-PN10</v>
          </cell>
          <cell r="F120">
            <v>46000</v>
          </cell>
          <cell r="G120" t="str">
            <v>EA</v>
          </cell>
          <cell r="H120">
            <v>100.51</v>
          </cell>
        </row>
        <row r="121">
          <cell r="B121">
            <v>40722472</v>
          </cell>
          <cell r="C121">
            <v>3458</v>
          </cell>
          <cell r="E121" t="str">
            <v>VALVE, BALL, Q41F46-10C  DN32-PN10</v>
          </cell>
          <cell r="F121">
            <v>46000</v>
          </cell>
          <cell r="G121" t="str">
            <v>EA</v>
          </cell>
          <cell r="H121">
            <v>100.51</v>
          </cell>
        </row>
        <row r="122">
          <cell r="B122">
            <v>130401105</v>
          </cell>
          <cell r="C122">
            <v>3458</v>
          </cell>
          <cell r="E122" t="str">
            <v>Hexagon socket!1inch!75mm</v>
          </cell>
          <cell r="F122">
            <v>45899</v>
          </cell>
          <cell r="G122" t="str">
            <v>EA</v>
          </cell>
          <cell r="H122">
            <v>100.37</v>
          </cell>
        </row>
        <row r="123">
          <cell r="B123">
            <v>120101328</v>
          </cell>
          <cell r="C123">
            <v>3458</v>
          </cell>
          <cell r="E123" t="str">
            <v>Laser Rangefinder!100MSATA-62713</v>
          </cell>
          <cell r="F123">
            <v>45899</v>
          </cell>
          <cell r="G123" t="str">
            <v>EA</v>
          </cell>
          <cell r="H123">
            <v>98.5</v>
          </cell>
        </row>
        <row r="124">
          <cell r="B124">
            <v>40722490</v>
          </cell>
          <cell r="C124">
            <v>3458</v>
          </cell>
          <cell r="E124" t="str">
            <v>VALVE, GATE, Z41W-16C,DN32</v>
          </cell>
          <cell r="F124">
            <v>45820</v>
          </cell>
          <cell r="G124" t="str">
            <v>EA</v>
          </cell>
          <cell r="H124">
            <v>96.02</v>
          </cell>
        </row>
        <row r="125">
          <cell r="B125">
            <v>40779836</v>
          </cell>
          <cell r="C125">
            <v>3458</v>
          </cell>
          <cell r="E125" t="str">
            <v>SLEEVE,SHAFT,LOWER,SUBMERGED PUMP</v>
          </cell>
          <cell r="F125">
            <v>45820</v>
          </cell>
          <cell r="G125" t="str">
            <v>EA</v>
          </cell>
          <cell r="H125">
            <v>92.77</v>
          </cell>
        </row>
        <row r="126">
          <cell r="B126">
            <v>40250191</v>
          </cell>
          <cell r="C126" t="str">
            <v>TSAF</v>
          </cell>
          <cell r="E126" t="str">
            <v>SLING 10TON , 3M LENGTH , ROUND</v>
          </cell>
          <cell r="F126">
            <v>45552</v>
          </cell>
          <cell r="G126" t="str">
            <v>EA</v>
          </cell>
          <cell r="H126">
            <v>91.66</v>
          </cell>
        </row>
        <row r="127">
          <cell r="B127">
            <v>40722473</v>
          </cell>
          <cell r="C127">
            <v>3458</v>
          </cell>
          <cell r="E127" t="str">
            <v>VALVE, BALL, Q41F46-10C  DN15-PN10</v>
          </cell>
          <cell r="F127">
            <v>45820</v>
          </cell>
          <cell r="G127" t="str">
            <v>EA</v>
          </cell>
          <cell r="H127">
            <v>90.56</v>
          </cell>
        </row>
        <row r="128">
          <cell r="B128">
            <v>40790922</v>
          </cell>
          <cell r="C128">
            <v>3458</v>
          </cell>
          <cell r="E128" t="str">
            <v>AGENT,CURING,EPOXY ZINCPHOSPHATE PRIMER</v>
          </cell>
          <cell r="F128">
            <v>45820</v>
          </cell>
          <cell r="G128" t="str">
            <v>EA</v>
          </cell>
          <cell r="H128">
            <v>88.96</v>
          </cell>
        </row>
        <row r="129">
          <cell r="B129">
            <v>40754480</v>
          </cell>
          <cell r="C129" t="str">
            <v>TSAF</v>
          </cell>
          <cell r="E129" t="str">
            <v>HAND CHAIN HOIST,5TX3M</v>
          </cell>
          <cell r="F129">
            <v>45820</v>
          </cell>
          <cell r="G129" t="str">
            <v>EA</v>
          </cell>
          <cell r="H129">
            <v>88.86</v>
          </cell>
        </row>
        <row r="130">
          <cell r="B130">
            <v>40698352</v>
          </cell>
          <cell r="C130">
            <v>3458</v>
          </cell>
          <cell r="E130" t="str">
            <v>THREE PIECE SOCKET WELD BALL VALVE,2</v>
          </cell>
          <cell r="F130">
            <v>46000</v>
          </cell>
          <cell r="G130" t="str">
            <v>EA</v>
          </cell>
          <cell r="H130">
            <v>88.76</v>
          </cell>
        </row>
        <row r="131">
          <cell r="B131">
            <v>40676678</v>
          </cell>
          <cell r="C131">
            <v>3458</v>
          </cell>
          <cell r="E131" t="str">
            <v>THREE-PROOF FLOODLIGHT NFC9192-70W</v>
          </cell>
          <cell r="F131">
            <v>45820</v>
          </cell>
          <cell r="G131" t="str">
            <v>EA</v>
          </cell>
          <cell r="H131">
            <v>88.1</v>
          </cell>
        </row>
        <row r="132">
          <cell r="B132">
            <v>40698352</v>
          </cell>
          <cell r="C132" t="str">
            <v>TSAF</v>
          </cell>
          <cell r="E132" t="str">
            <v>THREE PIECE SOCKET WELD BALL VALVE,2</v>
          </cell>
          <cell r="F132">
            <v>46000</v>
          </cell>
          <cell r="G132" t="str">
            <v>EA</v>
          </cell>
          <cell r="H132">
            <v>87.83</v>
          </cell>
        </row>
        <row r="133">
          <cell r="B133">
            <v>40164238</v>
          </cell>
          <cell r="C133" t="str">
            <v>TZAM</v>
          </cell>
          <cell r="E133" t="str">
            <v>PAINT, ANTI-RUST NUROOF, ACRYLIC, GREEN</v>
          </cell>
          <cell r="F133">
            <v>45819</v>
          </cell>
          <cell r="G133" t="str">
            <v>PL</v>
          </cell>
          <cell r="H133">
            <v>85.82</v>
          </cell>
        </row>
        <row r="134">
          <cell r="B134">
            <v>40667522</v>
          </cell>
          <cell r="C134">
            <v>3458</v>
          </cell>
          <cell r="E134" t="str">
            <v>COPPER ROD；Ф40MMX500MM,SH</v>
          </cell>
          <cell r="F134">
            <v>45820</v>
          </cell>
          <cell r="G134" t="str">
            <v>EA</v>
          </cell>
          <cell r="H134">
            <v>83.17</v>
          </cell>
        </row>
        <row r="135">
          <cell r="B135">
            <v>40790921</v>
          </cell>
          <cell r="C135">
            <v>3458</v>
          </cell>
          <cell r="E135" t="str">
            <v>THINNER,EPOXY PRIMER,15KG/BARREL</v>
          </cell>
          <cell r="F135">
            <v>45820</v>
          </cell>
          <cell r="G135" t="str">
            <v>EA</v>
          </cell>
          <cell r="H135">
            <v>80.17</v>
          </cell>
        </row>
        <row r="136">
          <cell r="B136">
            <v>130401197</v>
          </cell>
          <cell r="C136">
            <v>3458</v>
          </cell>
          <cell r="E136" t="str">
            <v>Sets!Dual-purposeWrench!GW-321123_6-32mm</v>
          </cell>
          <cell r="F136">
            <v>45899</v>
          </cell>
          <cell r="G136" t="str">
            <v>SET</v>
          </cell>
          <cell r="H136">
            <v>80.08</v>
          </cell>
        </row>
        <row r="137">
          <cell r="B137">
            <v>130401197</v>
          </cell>
          <cell r="C137">
            <v>3458</v>
          </cell>
          <cell r="E137" t="str">
            <v>Sets!Dual-purposeWrench!GW-321123_6-32mm</v>
          </cell>
          <cell r="F137">
            <v>45899</v>
          </cell>
          <cell r="G137" t="str">
            <v>SET</v>
          </cell>
          <cell r="H137">
            <v>80.08</v>
          </cell>
        </row>
        <row r="138">
          <cell r="B138">
            <v>40790919</v>
          </cell>
          <cell r="C138">
            <v>3458</v>
          </cell>
          <cell r="E138" t="str">
            <v>THINNER,TOPCOAT,15KG/BARREL</v>
          </cell>
          <cell r="F138">
            <v>45820</v>
          </cell>
          <cell r="G138" t="str">
            <v>EA</v>
          </cell>
          <cell r="H138">
            <v>78.709999999999994</v>
          </cell>
        </row>
        <row r="139">
          <cell r="B139">
            <v>130401246</v>
          </cell>
          <cell r="C139">
            <v>3458</v>
          </cell>
          <cell r="E139" t="str">
            <v>Set: Box-End Wrench Kit!YT-0398!6-32 mm</v>
          </cell>
          <cell r="F139">
            <v>45899</v>
          </cell>
          <cell r="G139" t="str">
            <v>SET</v>
          </cell>
          <cell r="H139">
            <v>78.3</v>
          </cell>
        </row>
        <row r="140">
          <cell r="B140">
            <v>130600194</v>
          </cell>
          <cell r="C140">
            <v>3458</v>
          </cell>
          <cell r="E140" t="str">
            <v>Electronic outside micrometer!704A-01</v>
          </cell>
          <cell r="F140">
            <v>45899</v>
          </cell>
          <cell r="G140" t="str">
            <v>EA</v>
          </cell>
          <cell r="H140">
            <v>76.739999999999995</v>
          </cell>
        </row>
        <row r="141">
          <cell r="B141">
            <v>130600170</v>
          </cell>
          <cell r="C141">
            <v>3458</v>
          </cell>
          <cell r="E141" t="str">
            <v>DialIndicator!801-05-1class-Itype_0-50mm</v>
          </cell>
          <cell r="F141">
            <v>45899</v>
          </cell>
          <cell r="G141" t="str">
            <v>EA</v>
          </cell>
          <cell r="H141">
            <v>74.430000000000007</v>
          </cell>
        </row>
        <row r="142">
          <cell r="B142">
            <v>40678790</v>
          </cell>
          <cell r="C142">
            <v>3458</v>
          </cell>
          <cell r="E142" t="str">
            <v>ELECTRIC WRENCH, GDF18V-400</v>
          </cell>
          <cell r="F142">
            <v>45552</v>
          </cell>
          <cell r="G142" t="str">
            <v>EA</v>
          </cell>
          <cell r="H142">
            <v>73.25</v>
          </cell>
        </row>
        <row r="143">
          <cell r="B143">
            <v>40248903</v>
          </cell>
          <cell r="C143">
            <v>3458</v>
          </cell>
          <cell r="E143" t="str">
            <v>BLOCK, HOIST CHAIN, 1 TON</v>
          </cell>
          <cell r="F143">
            <v>45552</v>
          </cell>
          <cell r="G143" t="str">
            <v>EA</v>
          </cell>
          <cell r="H143">
            <v>72.11</v>
          </cell>
        </row>
        <row r="144">
          <cell r="B144">
            <v>40127274</v>
          </cell>
          <cell r="C144" t="str">
            <v>TSAF</v>
          </cell>
          <cell r="E144" t="str">
            <v>BEARING, BALL UNMOUNTED, 6020ZZ</v>
          </cell>
          <cell r="F144">
            <v>45819</v>
          </cell>
          <cell r="G144" t="str">
            <v>EA</v>
          </cell>
          <cell r="H144">
            <v>69.400000000000006</v>
          </cell>
        </row>
        <row r="145">
          <cell r="B145">
            <v>40676680</v>
          </cell>
          <cell r="C145">
            <v>3458</v>
          </cell>
          <cell r="E145" t="str">
            <v>EXPLOSION-PROOF FACTORY FLOODLIGHT</v>
          </cell>
          <cell r="F145">
            <v>45820</v>
          </cell>
          <cell r="G145" t="str">
            <v>EA</v>
          </cell>
          <cell r="H145">
            <v>68.53</v>
          </cell>
        </row>
        <row r="146">
          <cell r="B146">
            <v>40751694</v>
          </cell>
          <cell r="C146">
            <v>3458</v>
          </cell>
          <cell r="E146" t="str">
            <v>HOIST,HAND CHAIN,3T 3M</v>
          </cell>
          <cell r="F146">
            <v>45820</v>
          </cell>
          <cell r="G146" t="str">
            <v>EA</v>
          </cell>
          <cell r="H146">
            <v>67.09</v>
          </cell>
        </row>
        <row r="147">
          <cell r="B147">
            <v>40600233</v>
          </cell>
          <cell r="C147">
            <v>3458</v>
          </cell>
          <cell r="E147" t="str">
            <v>DOOR HANDLE SET</v>
          </cell>
          <cell r="F147">
            <v>46000</v>
          </cell>
          <cell r="G147" t="str">
            <v>EA</v>
          </cell>
          <cell r="H147">
            <v>65.86</v>
          </cell>
        </row>
        <row r="148">
          <cell r="B148">
            <v>130900490</v>
          </cell>
          <cell r="C148">
            <v>3458</v>
          </cell>
          <cell r="E148" t="str">
            <v>ImpactDrill(EH)!BS660509DF/SquareShank</v>
          </cell>
          <cell r="F148">
            <v>45899</v>
          </cell>
          <cell r="G148" t="str">
            <v>EA</v>
          </cell>
          <cell r="H148">
            <v>65.53</v>
          </cell>
        </row>
        <row r="149">
          <cell r="B149">
            <v>40666981</v>
          </cell>
          <cell r="C149">
            <v>3458</v>
          </cell>
          <cell r="E149" t="str">
            <v>VALVE BALL Q11N-1000WOGRL DN15</v>
          </cell>
          <cell r="F149">
            <v>46000</v>
          </cell>
          <cell r="G149" t="str">
            <v>EA</v>
          </cell>
          <cell r="H149">
            <v>65.5</v>
          </cell>
        </row>
        <row r="150">
          <cell r="B150">
            <v>40722482</v>
          </cell>
          <cell r="C150">
            <v>3458</v>
          </cell>
          <cell r="E150" t="str">
            <v>VALVE, BALL, INTERNAL THREAD, DN50-PN10</v>
          </cell>
          <cell r="F150">
            <v>45820</v>
          </cell>
          <cell r="G150" t="str">
            <v>EA</v>
          </cell>
          <cell r="H150">
            <v>63.94</v>
          </cell>
        </row>
        <row r="151">
          <cell r="B151">
            <v>40626991</v>
          </cell>
          <cell r="C151">
            <v>3458</v>
          </cell>
          <cell r="E151" t="str">
            <v>SCREW,M6S M36*120 8.8 ZP,CJ815</v>
          </cell>
          <cell r="F151">
            <v>45819</v>
          </cell>
          <cell r="G151" t="str">
            <v>EA</v>
          </cell>
          <cell r="H151">
            <v>63.54</v>
          </cell>
        </row>
        <row r="152">
          <cell r="B152">
            <v>40549528</v>
          </cell>
          <cell r="C152">
            <v>3458</v>
          </cell>
          <cell r="E152" t="str">
            <v>VALVE, GATE, DN15, CL800, HAND WHEEL,</v>
          </cell>
          <cell r="F152">
            <v>46000</v>
          </cell>
          <cell r="G152" t="str">
            <v>EA</v>
          </cell>
          <cell r="H152">
            <v>62.01</v>
          </cell>
        </row>
        <row r="153">
          <cell r="B153">
            <v>40549528</v>
          </cell>
          <cell r="C153" t="str">
            <v>TSAF</v>
          </cell>
          <cell r="E153" t="str">
            <v>VALVE, GATE, DN15, CL800, HAND WHEEL,</v>
          </cell>
          <cell r="F153">
            <v>46000</v>
          </cell>
          <cell r="G153" t="str">
            <v>EA</v>
          </cell>
          <cell r="H153">
            <v>62.01</v>
          </cell>
        </row>
        <row r="154">
          <cell r="B154">
            <v>40549528</v>
          </cell>
          <cell r="C154">
            <v>3458</v>
          </cell>
          <cell r="E154" t="str">
            <v>VALVE, GATE, DN15, CL800, HAND WHEEL,</v>
          </cell>
          <cell r="F154">
            <v>46000</v>
          </cell>
          <cell r="G154" t="str">
            <v>EA</v>
          </cell>
          <cell r="H154">
            <v>62.01</v>
          </cell>
        </row>
        <row r="155">
          <cell r="B155">
            <v>40549528</v>
          </cell>
          <cell r="C155" t="str">
            <v>TSAF</v>
          </cell>
          <cell r="E155" t="str">
            <v>VALVE, GATE, DN15, CL800, HAND WHEEL,</v>
          </cell>
          <cell r="F155">
            <v>46000</v>
          </cell>
          <cell r="G155" t="str">
            <v>EA</v>
          </cell>
          <cell r="H155">
            <v>62.01</v>
          </cell>
        </row>
        <row r="156">
          <cell r="B156">
            <v>40622690</v>
          </cell>
          <cell r="C156" t="str">
            <v>TSAF</v>
          </cell>
          <cell r="E156" t="str">
            <v>SCREW, M6S 36X180 8.8, JAW CRUSHER</v>
          </cell>
          <cell r="F156">
            <v>46001</v>
          </cell>
          <cell r="G156" t="str">
            <v>EA</v>
          </cell>
          <cell r="H156">
            <v>61.41</v>
          </cell>
        </row>
        <row r="157">
          <cell r="B157">
            <v>40779148</v>
          </cell>
          <cell r="C157">
            <v>3458</v>
          </cell>
          <cell r="E157" t="str">
            <v>VALVE BODY,PNEUMATIC BUTTERFLY VALVE</v>
          </cell>
          <cell r="F157">
            <v>45820</v>
          </cell>
          <cell r="G157" t="str">
            <v>EA</v>
          </cell>
          <cell r="H157">
            <v>60.46</v>
          </cell>
        </row>
        <row r="158">
          <cell r="B158">
            <v>40779148</v>
          </cell>
          <cell r="C158">
            <v>3458</v>
          </cell>
          <cell r="E158" t="str">
            <v>VALVE BODY,PNEUMATIC BUTTERFLY VALVE</v>
          </cell>
          <cell r="F158">
            <v>45820</v>
          </cell>
          <cell r="G158" t="str">
            <v>EA</v>
          </cell>
          <cell r="H158">
            <v>60.46</v>
          </cell>
        </row>
        <row r="159">
          <cell r="B159">
            <v>40626991</v>
          </cell>
          <cell r="C159" t="str">
            <v>TSAF</v>
          </cell>
          <cell r="E159" t="str">
            <v>SCREW,M6S M36*120 8.8 ZP,CJ815</v>
          </cell>
          <cell r="F159">
            <v>45819</v>
          </cell>
          <cell r="G159" t="str">
            <v>EA</v>
          </cell>
          <cell r="H159">
            <v>58.05</v>
          </cell>
        </row>
        <row r="160">
          <cell r="B160">
            <v>40779146</v>
          </cell>
          <cell r="C160">
            <v>3458</v>
          </cell>
          <cell r="E160" t="str">
            <v>VALVE BODY,PNEUMATIC BUTTERFLY VALVE</v>
          </cell>
          <cell r="F160">
            <v>45820</v>
          </cell>
          <cell r="G160" t="str">
            <v>EA</v>
          </cell>
          <cell r="H160">
            <v>56.07</v>
          </cell>
        </row>
        <row r="161">
          <cell r="B161">
            <v>340100067</v>
          </cell>
          <cell r="C161">
            <v>3458</v>
          </cell>
          <cell r="E161" t="str">
            <v>Commercial electronic scale!30 kg</v>
          </cell>
          <cell r="F161">
            <v>45900</v>
          </cell>
          <cell r="G161" t="str">
            <v>TAI</v>
          </cell>
          <cell r="H161">
            <v>54.71</v>
          </cell>
        </row>
        <row r="162">
          <cell r="B162">
            <v>130600029</v>
          </cell>
          <cell r="C162">
            <v>3458</v>
          </cell>
          <cell r="E162" t="str">
            <v>DDvernier caliper!200mm</v>
          </cell>
          <cell r="F162">
            <v>45899</v>
          </cell>
          <cell r="G162" t="str">
            <v>EA</v>
          </cell>
          <cell r="H162">
            <v>54.53</v>
          </cell>
        </row>
        <row r="163">
          <cell r="B163">
            <v>130600029</v>
          </cell>
          <cell r="C163">
            <v>3458</v>
          </cell>
          <cell r="E163" t="str">
            <v>DDvernier caliper!200mm</v>
          </cell>
          <cell r="F163">
            <v>45899</v>
          </cell>
          <cell r="G163" t="str">
            <v>EA</v>
          </cell>
          <cell r="H163">
            <v>54.53</v>
          </cell>
        </row>
        <row r="164">
          <cell r="B164">
            <v>130400188</v>
          </cell>
          <cell r="C164">
            <v>3458</v>
          </cell>
          <cell r="E164" t="str">
            <v>BW!50×55</v>
          </cell>
          <cell r="F164">
            <v>45899</v>
          </cell>
          <cell r="G164" t="str">
            <v>EA</v>
          </cell>
          <cell r="H164">
            <v>53.41</v>
          </cell>
        </row>
        <row r="165">
          <cell r="B165">
            <v>40755543</v>
          </cell>
          <cell r="C165">
            <v>3458</v>
          </cell>
          <cell r="E165" t="str">
            <v>BOW SHACKLE,316,6.5T</v>
          </cell>
          <cell r="F165">
            <v>45930</v>
          </cell>
          <cell r="G165" t="str">
            <v>EA</v>
          </cell>
          <cell r="H165">
            <v>51.36</v>
          </cell>
        </row>
        <row r="166">
          <cell r="B166">
            <v>40600233</v>
          </cell>
          <cell r="C166" t="str">
            <v>TSAF</v>
          </cell>
          <cell r="E166" t="str">
            <v>DOOR HANDLE SET</v>
          </cell>
          <cell r="F166">
            <v>46000</v>
          </cell>
          <cell r="G166" t="str">
            <v>EA</v>
          </cell>
          <cell r="H166">
            <v>50.33</v>
          </cell>
        </row>
        <row r="167">
          <cell r="B167">
            <v>40774489</v>
          </cell>
          <cell r="C167">
            <v>3458</v>
          </cell>
          <cell r="E167" t="str">
            <v>LIGHT,LED FACTORY,POLE TYPE,LGT8628</v>
          </cell>
          <cell r="F167">
            <v>45820</v>
          </cell>
          <cell r="G167" t="str">
            <v>EA</v>
          </cell>
          <cell r="H167">
            <v>50.23</v>
          </cell>
        </row>
        <row r="168">
          <cell r="B168">
            <v>110400545</v>
          </cell>
          <cell r="C168">
            <v>3458</v>
          </cell>
          <cell r="E168" t="str">
            <v>Flashlight!LiRechargeable6-LD!SATA-90738</v>
          </cell>
          <cell r="F168">
            <v>45900</v>
          </cell>
          <cell r="G168" t="str">
            <v>EA</v>
          </cell>
          <cell r="H168">
            <v>50.05</v>
          </cell>
        </row>
        <row r="169">
          <cell r="B169">
            <v>40779814</v>
          </cell>
          <cell r="C169">
            <v>3458</v>
          </cell>
          <cell r="E169" t="str">
            <v>SEAL,SHAFT,RETURN PUMP</v>
          </cell>
          <cell r="F169">
            <v>45820</v>
          </cell>
          <cell r="G169" t="str">
            <v>EA</v>
          </cell>
          <cell r="H169">
            <v>48.4</v>
          </cell>
        </row>
        <row r="170">
          <cell r="B170">
            <v>40722488</v>
          </cell>
          <cell r="C170">
            <v>3458</v>
          </cell>
          <cell r="E170" t="str">
            <v>VALVE, GATE, Z41W-16C,DN20</v>
          </cell>
          <cell r="F170">
            <v>45820</v>
          </cell>
          <cell r="G170" t="str">
            <v>EA</v>
          </cell>
          <cell r="H170">
            <v>46.87</v>
          </cell>
        </row>
        <row r="171">
          <cell r="B171">
            <v>40722488</v>
          </cell>
          <cell r="C171">
            <v>3458</v>
          </cell>
          <cell r="E171" t="str">
            <v>VALVE, GATE, Z41W-16C,DN20</v>
          </cell>
          <cell r="F171">
            <v>45820</v>
          </cell>
          <cell r="G171" t="str">
            <v>EA</v>
          </cell>
          <cell r="H171">
            <v>46.87</v>
          </cell>
        </row>
        <row r="172">
          <cell r="B172">
            <v>40664923</v>
          </cell>
          <cell r="C172">
            <v>3458</v>
          </cell>
          <cell r="E172" t="str">
            <v>BUTTERFLY VALVE,D71X-10Q DN80</v>
          </cell>
          <cell r="F172">
            <v>45820</v>
          </cell>
          <cell r="G172" t="str">
            <v>EA</v>
          </cell>
          <cell r="H172">
            <v>46.61</v>
          </cell>
        </row>
        <row r="173">
          <cell r="B173">
            <v>40743535</v>
          </cell>
          <cell r="C173">
            <v>3458</v>
          </cell>
          <cell r="E173" t="str">
            <v>BALL VALVE,FLANGED,Q41F-16C,WCB,DN20</v>
          </cell>
          <cell r="F173">
            <v>46000</v>
          </cell>
          <cell r="G173" t="str">
            <v>EA</v>
          </cell>
          <cell r="H173">
            <v>45.86</v>
          </cell>
        </row>
        <row r="174">
          <cell r="B174">
            <v>40743535</v>
          </cell>
          <cell r="C174">
            <v>3458</v>
          </cell>
          <cell r="E174" t="str">
            <v>BALL VALVE,FLANGED,Q41F-16C,WCB,DN20</v>
          </cell>
          <cell r="F174">
            <v>46000</v>
          </cell>
          <cell r="G174" t="str">
            <v>EA</v>
          </cell>
          <cell r="H174">
            <v>45.86</v>
          </cell>
        </row>
        <row r="175">
          <cell r="B175">
            <v>40790918</v>
          </cell>
          <cell r="C175">
            <v>3458</v>
          </cell>
          <cell r="E175" t="str">
            <v>AGENT,CURING,TOPCOAT,2.5KG/BARREL</v>
          </cell>
          <cell r="F175">
            <v>45820</v>
          </cell>
          <cell r="G175" t="str">
            <v>EA</v>
          </cell>
          <cell r="H175">
            <v>45</v>
          </cell>
        </row>
        <row r="176">
          <cell r="B176">
            <v>130100118</v>
          </cell>
          <cell r="C176">
            <v>3458</v>
          </cell>
          <cell r="E176" t="str">
            <v>MEC JACK!5T</v>
          </cell>
          <cell r="F176">
            <v>45899</v>
          </cell>
          <cell r="G176" t="str">
            <v>EA</v>
          </cell>
          <cell r="H176">
            <v>40.81</v>
          </cell>
        </row>
        <row r="177">
          <cell r="B177">
            <v>40676677</v>
          </cell>
          <cell r="C177">
            <v>3458</v>
          </cell>
          <cell r="E177" t="str">
            <v>THREE-PROOF FLOODLIGHT NFC9192-50W</v>
          </cell>
          <cell r="F177">
            <v>45820</v>
          </cell>
          <cell r="G177" t="str">
            <v>EA</v>
          </cell>
          <cell r="H177">
            <v>40.75</v>
          </cell>
        </row>
        <row r="178">
          <cell r="B178">
            <v>40691792</v>
          </cell>
          <cell r="C178">
            <v>3458</v>
          </cell>
          <cell r="E178" t="str">
            <v>SAFETY VALVE,SAGφ75*43&amp;BALLφ58*95</v>
          </cell>
          <cell r="F178">
            <v>46000</v>
          </cell>
          <cell r="G178" t="str">
            <v>EA</v>
          </cell>
          <cell r="H178">
            <v>38.35</v>
          </cell>
        </row>
        <row r="179">
          <cell r="B179">
            <v>40691792</v>
          </cell>
          <cell r="C179" t="str">
            <v>TSAF</v>
          </cell>
          <cell r="E179" t="str">
            <v>SAFETY VALVE,SAGφ75*43&amp;BALLφ58*95</v>
          </cell>
          <cell r="F179">
            <v>46000</v>
          </cell>
          <cell r="G179" t="str">
            <v>EA</v>
          </cell>
          <cell r="H179">
            <v>37.659999999999997</v>
          </cell>
        </row>
        <row r="180">
          <cell r="B180">
            <v>130900670</v>
          </cell>
          <cell r="C180">
            <v>3458</v>
          </cell>
          <cell r="E180" t="str">
            <v>electric grinder!S1J-BS03-25</v>
          </cell>
          <cell r="F180">
            <v>45899</v>
          </cell>
          <cell r="G180" t="str">
            <v>EA</v>
          </cell>
          <cell r="H180">
            <v>37.14</v>
          </cell>
        </row>
        <row r="181">
          <cell r="B181">
            <v>40760844</v>
          </cell>
          <cell r="C181">
            <v>3458</v>
          </cell>
          <cell r="E181" t="str">
            <v>GLOBLE VALVE, PN40 DN15 J41H-40</v>
          </cell>
          <cell r="F181">
            <v>45820</v>
          </cell>
          <cell r="G181" t="str">
            <v>EA</v>
          </cell>
          <cell r="H181">
            <v>36.58</v>
          </cell>
        </row>
        <row r="182">
          <cell r="B182">
            <v>130400945</v>
          </cell>
          <cell r="C182">
            <v>3458</v>
          </cell>
          <cell r="E182" t="str">
            <v>Hex Socket Sleeve! 55 mm! 1 inch</v>
          </cell>
          <cell r="F182">
            <v>45899</v>
          </cell>
          <cell r="G182" t="str">
            <v>SET</v>
          </cell>
          <cell r="H182">
            <v>34.4</v>
          </cell>
        </row>
        <row r="183">
          <cell r="B183">
            <v>40722480</v>
          </cell>
          <cell r="C183">
            <v>3458</v>
          </cell>
          <cell r="E183" t="str">
            <v>VALVE, BALL, INTERNAL THREAD, DN32-PN10</v>
          </cell>
          <cell r="F183">
            <v>45820</v>
          </cell>
          <cell r="G183" t="str">
            <v>EA</v>
          </cell>
          <cell r="H183">
            <v>34.130000000000003</v>
          </cell>
        </row>
        <row r="184">
          <cell r="B184">
            <v>40722480</v>
          </cell>
          <cell r="C184">
            <v>3458</v>
          </cell>
          <cell r="E184" t="str">
            <v>VALVE, BALL, INTERNAL THREAD, DN32-PN10</v>
          </cell>
          <cell r="F184">
            <v>45820</v>
          </cell>
          <cell r="G184" t="str">
            <v>EA</v>
          </cell>
          <cell r="H184">
            <v>34.130000000000003</v>
          </cell>
        </row>
        <row r="185">
          <cell r="B185">
            <v>40722574</v>
          </cell>
          <cell r="C185">
            <v>3458</v>
          </cell>
          <cell r="E185" t="str">
            <v>VALVE, GATE, INTERNAL THREAD, DN20-PN16</v>
          </cell>
          <cell r="F185">
            <v>45820</v>
          </cell>
          <cell r="G185" t="str">
            <v>EA</v>
          </cell>
          <cell r="H185">
            <v>34.130000000000003</v>
          </cell>
        </row>
        <row r="186">
          <cell r="B186">
            <v>40084864</v>
          </cell>
          <cell r="C186" t="str">
            <v>TSAF</v>
          </cell>
          <cell r="E186" t="str">
            <v>BOLT, HEX HEAD, M12 X 1.75 X 150MM,</v>
          </cell>
          <cell r="F186">
            <v>45819</v>
          </cell>
          <cell r="G186" t="str">
            <v>EA</v>
          </cell>
          <cell r="H186">
            <v>30.64</v>
          </cell>
        </row>
        <row r="187">
          <cell r="B187">
            <v>130900499</v>
          </cell>
          <cell r="C187">
            <v>3458</v>
          </cell>
          <cell r="E187" t="str">
            <v>ElectricDrillHandDrillJ1Z-BS01-13810W</v>
          </cell>
          <cell r="F187">
            <v>45899</v>
          </cell>
          <cell r="G187" t="str">
            <v>SET</v>
          </cell>
          <cell r="H187">
            <v>30.1</v>
          </cell>
        </row>
        <row r="188">
          <cell r="B188">
            <v>40750427</v>
          </cell>
          <cell r="C188">
            <v>3458</v>
          </cell>
          <cell r="E188" t="str">
            <v>ISOLATOR,AI SIGNAL</v>
          </cell>
          <cell r="F188">
            <v>45820</v>
          </cell>
          <cell r="G188" t="str">
            <v>EA</v>
          </cell>
          <cell r="H188">
            <v>30.04</v>
          </cell>
        </row>
        <row r="189">
          <cell r="B189">
            <v>40750428</v>
          </cell>
          <cell r="C189">
            <v>3458</v>
          </cell>
          <cell r="E189" t="str">
            <v>ISOLATOR,AO SIGNAL</v>
          </cell>
          <cell r="F189">
            <v>45820</v>
          </cell>
          <cell r="G189" t="str">
            <v>EA</v>
          </cell>
          <cell r="H189">
            <v>30.04</v>
          </cell>
        </row>
        <row r="190">
          <cell r="B190">
            <v>40755543</v>
          </cell>
          <cell r="C190" t="str">
            <v>TDUP</v>
          </cell>
          <cell r="E190" t="str">
            <v>BOW SHACKLE,316,6.5T</v>
          </cell>
          <cell r="F190">
            <v>45930</v>
          </cell>
          <cell r="G190" t="str">
            <v>EA</v>
          </cell>
          <cell r="H190">
            <v>29.99</v>
          </cell>
        </row>
        <row r="191">
          <cell r="B191">
            <v>40667521</v>
          </cell>
          <cell r="C191">
            <v>3458</v>
          </cell>
          <cell r="E191" t="str">
            <v>COPPER ROD；Ф20MMX500MM,SH</v>
          </cell>
          <cell r="F191">
            <v>45820</v>
          </cell>
          <cell r="G191" t="str">
            <v>EA</v>
          </cell>
          <cell r="H191">
            <v>29.84</v>
          </cell>
        </row>
        <row r="192">
          <cell r="B192">
            <v>130401178</v>
          </cell>
          <cell r="C192">
            <v>3458</v>
          </cell>
          <cell r="E192" t="str">
            <v>DOUBLE-ENDED INFLEXIBLE WRENCH!46×50MM</v>
          </cell>
          <cell r="F192">
            <v>45899</v>
          </cell>
          <cell r="G192" t="str">
            <v>EA</v>
          </cell>
          <cell r="H192">
            <v>29.54</v>
          </cell>
        </row>
        <row r="193">
          <cell r="B193">
            <v>40678851</v>
          </cell>
          <cell r="C193">
            <v>3458</v>
          </cell>
          <cell r="E193" t="str">
            <v>HYDRAULIC JACK, 10T</v>
          </cell>
          <cell r="F193">
            <v>45820</v>
          </cell>
          <cell r="G193" t="str">
            <v>EA</v>
          </cell>
          <cell r="H193">
            <v>28.08</v>
          </cell>
        </row>
        <row r="194">
          <cell r="B194">
            <v>40575506</v>
          </cell>
          <cell r="C194">
            <v>3458</v>
          </cell>
          <cell r="E194" t="str">
            <v>BOLT, HOLD DOWN M24 X 650MM MILD STEEL</v>
          </cell>
          <cell r="F194">
            <v>45552</v>
          </cell>
          <cell r="G194" t="str">
            <v>EA</v>
          </cell>
          <cell r="H194">
            <v>27.94</v>
          </cell>
        </row>
        <row r="195">
          <cell r="B195">
            <v>40694918</v>
          </cell>
          <cell r="C195">
            <v>3458</v>
          </cell>
          <cell r="E195" t="str">
            <v>PACKING GLAND ,50ZJ-I-A46,22K</v>
          </cell>
          <cell r="F195">
            <v>46000</v>
          </cell>
          <cell r="G195" t="str">
            <v>EA</v>
          </cell>
          <cell r="H195">
            <v>26.11</v>
          </cell>
        </row>
        <row r="196">
          <cell r="B196">
            <v>130600034</v>
          </cell>
          <cell r="C196">
            <v>3458</v>
          </cell>
          <cell r="E196" t="str">
            <v>Feeler GA!0.02-1.00mm!300mm</v>
          </cell>
          <cell r="F196">
            <v>45899</v>
          </cell>
          <cell r="G196" t="str">
            <v>EA</v>
          </cell>
          <cell r="H196">
            <v>25.37</v>
          </cell>
        </row>
        <row r="197">
          <cell r="B197">
            <v>40742396</v>
          </cell>
          <cell r="C197">
            <v>3458</v>
          </cell>
          <cell r="E197" t="str">
            <v>TROLLEY,CABLE,CH-2</v>
          </cell>
          <cell r="F197">
            <v>46000</v>
          </cell>
          <cell r="G197" t="str">
            <v>EA</v>
          </cell>
          <cell r="H197">
            <v>25.07</v>
          </cell>
        </row>
        <row r="198">
          <cell r="B198">
            <v>130400946</v>
          </cell>
          <cell r="C198">
            <v>3458</v>
          </cell>
          <cell r="E198" t="str">
            <v>Hex socket sleeve! length 46 mm! 1 inch</v>
          </cell>
          <cell r="F198">
            <v>45899</v>
          </cell>
          <cell r="G198" t="str">
            <v>SET</v>
          </cell>
          <cell r="H198">
            <v>22.93</v>
          </cell>
        </row>
        <row r="199">
          <cell r="B199">
            <v>130400212</v>
          </cell>
          <cell r="C199">
            <v>3458</v>
          </cell>
          <cell r="E199" t="str">
            <v>Allen WR!24mm</v>
          </cell>
          <cell r="F199">
            <v>45899</v>
          </cell>
          <cell r="G199" t="str">
            <v>EA</v>
          </cell>
          <cell r="H199">
            <v>22.92</v>
          </cell>
        </row>
        <row r="200">
          <cell r="B200">
            <v>40251949</v>
          </cell>
          <cell r="C200">
            <v>3458</v>
          </cell>
          <cell r="E200" t="str">
            <v>VALVE TYPE:  BALL            SIZE: 50MM</v>
          </cell>
          <cell r="F200">
            <v>45552</v>
          </cell>
          <cell r="G200" t="str">
            <v>EA</v>
          </cell>
          <cell r="H200">
            <v>22.88</v>
          </cell>
        </row>
        <row r="201">
          <cell r="B201">
            <v>40251949</v>
          </cell>
          <cell r="C201">
            <v>3458</v>
          </cell>
          <cell r="E201" t="str">
            <v>VALVE TYPE:  BALL            SIZE: 50MM</v>
          </cell>
          <cell r="F201">
            <v>45552</v>
          </cell>
          <cell r="G201" t="str">
            <v>EA</v>
          </cell>
          <cell r="H201">
            <v>22.88</v>
          </cell>
        </row>
        <row r="202">
          <cell r="B202">
            <v>40622697</v>
          </cell>
          <cell r="C202">
            <v>3458</v>
          </cell>
          <cell r="E202" t="str">
            <v>NUT, M6M M36 8 FZB ISO 4032, JAW CRUSHER</v>
          </cell>
          <cell r="F202">
            <v>46001</v>
          </cell>
          <cell r="G202" t="str">
            <v>EA</v>
          </cell>
          <cell r="H202">
            <v>22.2</v>
          </cell>
        </row>
        <row r="203">
          <cell r="B203">
            <v>40678851</v>
          </cell>
          <cell r="C203" t="str">
            <v>TSAF</v>
          </cell>
          <cell r="E203" t="str">
            <v>HYDRAULIC JACK, 10T</v>
          </cell>
          <cell r="F203">
            <v>45820</v>
          </cell>
          <cell r="G203" t="str">
            <v>EA</v>
          </cell>
          <cell r="H203">
            <v>21.86</v>
          </cell>
        </row>
        <row r="204">
          <cell r="B204">
            <v>40250191</v>
          </cell>
          <cell r="C204">
            <v>3458</v>
          </cell>
          <cell r="E204" t="str">
            <v>SLING 10TON , 3M LENGTH , ROUND</v>
          </cell>
          <cell r="F204">
            <v>45552</v>
          </cell>
          <cell r="G204" t="str">
            <v>EA</v>
          </cell>
          <cell r="H204">
            <v>21.74</v>
          </cell>
        </row>
        <row r="205">
          <cell r="B205">
            <v>130400433</v>
          </cell>
          <cell r="C205">
            <v>3458</v>
          </cell>
          <cell r="E205" t="str">
            <v>DBLT open-end WR!41×46</v>
          </cell>
          <cell r="F205">
            <v>45899</v>
          </cell>
          <cell r="G205" t="str">
            <v>EA</v>
          </cell>
          <cell r="H205">
            <v>21.2</v>
          </cell>
        </row>
        <row r="206">
          <cell r="B206">
            <v>40137799</v>
          </cell>
          <cell r="C206">
            <v>3458</v>
          </cell>
          <cell r="E206" t="str">
            <v>VALVE, BALL MANUALLY OPERATED, 1/2",</v>
          </cell>
          <cell r="F206">
            <v>45552</v>
          </cell>
          <cell r="G206" t="str">
            <v>EA</v>
          </cell>
          <cell r="H206">
            <v>20.79</v>
          </cell>
        </row>
        <row r="207">
          <cell r="B207">
            <v>40251711</v>
          </cell>
          <cell r="C207">
            <v>3458</v>
          </cell>
          <cell r="E207" t="str">
            <v>FITTING LIGHT, 2FT 18WATT</v>
          </cell>
          <cell r="F207">
            <v>45552</v>
          </cell>
          <cell r="G207" t="str">
            <v>EA</v>
          </cell>
          <cell r="H207">
            <v>20.48</v>
          </cell>
        </row>
        <row r="208">
          <cell r="B208">
            <v>40251711</v>
          </cell>
          <cell r="C208" t="str">
            <v>TSAF</v>
          </cell>
          <cell r="E208" t="str">
            <v>FITTING LIGHT, 2FT 18WATT</v>
          </cell>
          <cell r="F208">
            <v>45552</v>
          </cell>
          <cell r="G208" t="str">
            <v>EA</v>
          </cell>
          <cell r="H208">
            <v>20.48</v>
          </cell>
        </row>
        <row r="209">
          <cell r="B209">
            <v>40779808</v>
          </cell>
          <cell r="C209">
            <v>3458</v>
          </cell>
          <cell r="E209" t="str">
            <v>BUSHING,SHAFT,RECOVERY PUMP</v>
          </cell>
          <cell r="F209">
            <v>45820</v>
          </cell>
          <cell r="G209" t="str">
            <v>EA</v>
          </cell>
          <cell r="H209">
            <v>20.170000000000002</v>
          </cell>
        </row>
        <row r="210">
          <cell r="B210">
            <v>130600195</v>
          </cell>
          <cell r="C210">
            <v>3458</v>
          </cell>
          <cell r="E210" t="str">
            <v>dial indicator!0~3mm</v>
          </cell>
          <cell r="F210">
            <v>45899</v>
          </cell>
          <cell r="G210" t="str">
            <v>EA</v>
          </cell>
          <cell r="H210">
            <v>19.579999999999998</v>
          </cell>
        </row>
        <row r="211">
          <cell r="B211">
            <v>130400336</v>
          </cell>
          <cell r="C211">
            <v>3458</v>
          </cell>
          <cell r="E211" t="str">
            <v>OctagonaLhammer!6P!Wooden HDL</v>
          </cell>
          <cell r="F211">
            <v>45899</v>
          </cell>
          <cell r="G211" t="str">
            <v>EA</v>
          </cell>
          <cell r="H211">
            <v>18.25</v>
          </cell>
        </row>
        <row r="212">
          <cell r="B212">
            <v>40483756</v>
          </cell>
          <cell r="C212">
            <v>3458</v>
          </cell>
          <cell r="E212" t="str">
            <v>SEALANT, 600ML, SIKAFLEX PRO-3</v>
          </cell>
          <cell r="F212">
            <v>45688</v>
          </cell>
          <cell r="G212" t="str">
            <v>EA</v>
          </cell>
          <cell r="H212">
            <v>18.100000000000001</v>
          </cell>
        </row>
        <row r="213">
          <cell r="B213">
            <v>130800498</v>
          </cell>
          <cell r="C213">
            <v>3458</v>
          </cell>
          <cell r="E213" t="str">
            <v>Plastic Welding Torch!CL611401，700W</v>
          </cell>
          <cell r="F213">
            <v>45899</v>
          </cell>
          <cell r="G213" t="str">
            <v>EA</v>
          </cell>
          <cell r="H213">
            <v>17.829999999999998</v>
          </cell>
        </row>
        <row r="214">
          <cell r="B214">
            <v>40684095</v>
          </cell>
          <cell r="C214">
            <v>3458</v>
          </cell>
          <cell r="E214" t="str">
            <v>HORIZONTAL RULER</v>
          </cell>
          <cell r="F214">
            <v>45820</v>
          </cell>
          <cell r="G214" t="str">
            <v>EA</v>
          </cell>
          <cell r="H214">
            <v>17.63</v>
          </cell>
        </row>
        <row r="215">
          <cell r="B215">
            <v>130401111</v>
          </cell>
          <cell r="C215">
            <v>3458</v>
          </cell>
          <cell r="E215" t="str">
            <v>Hexagon socket!1inch!41mm</v>
          </cell>
          <cell r="F215">
            <v>45899</v>
          </cell>
          <cell r="G215" t="str">
            <v>EA</v>
          </cell>
          <cell r="H215">
            <v>17.2</v>
          </cell>
        </row>
        <row r="216">
          <cell r="B216">
            <v>40252869</v>
          </cell>
          <cell r="C216">
            <v>3458</v>
          </cell>
          <cell r="E216" t="str">
            <v>VALVE, SAFETY KWIKOT, OPERATING</v>
          </cell>
          <cell r="F216">
            <v>45688</v>
          </cell>
          <cell r="G216" t="str">
            <v>EA</v>
          </cell>
          <cell r="H216">
            <v>16.97</v>
          </cell>
        </row>
        <row r="217">
          <cell r="B217">
            <v>40483756</v>
          </cell>
          <cell r="C217" t="str">
            <v>TSAF</v>
          </cell>
          <cell r="E217" t="str">
            <v>SEALANT, 600ML, SIKAFLEX PRO-3</v>
          </cell>
          <cell r="F217">
            <v>45688</v>
          </cell>
          <cell r="G217" t="str">
            <v>EA</v>
          </cell>
          <cell r="H217">
            <v>15.84</v>
          </cell>
        </row>
        <row r="218">
          <cell r="B218">
            <v>130400194</v>
          </cell>
          <cell r="C218">
            <v>3458</v>
          </cell>
          <cell r="E218" t="str">
            <v>RNG slogging spanner!36mm</v>
          </cell>
          <cell r="F218">
            <v>45899</v>
          </cell>
          <cell r="G218" t="str">
            <v>EA</v>
          </cell>
          <cell r="H218">
            <v>15.78</v>
          </cell>
        </row>
        <row r="219">
          <cell r="B219">
            <v>130400211</v>
          </cell>
          <cell r="C219">
            <v>3458</v>
          </cell>
          <cell r="E219" t="str">
            <v>Allen WR!22mm</v>
          </cell>
          <cell r="F219">
            <v>45899</v>
          </cell>
          <cell r="G219" t="str">
            <v>EA</v>
          </cell>
          <cell r="H219">
            <v>15.67</v>
          </cell>
        </row>
        <row r="220">
          <cell r="B220">
            <v>40131323</v>
          </cell>
          <cell r="C220">
            <v>3458</v>
          </cell>
          <cell r="E220" t="str">
            <v>TOWELS, SHOP</v>
          </cell>
          <cell r="F220">
            <v>45975</v>
          </cell>
          <cell r="G220" t="str">
            <v>EA</v>
          </cell>
          <cell r="H220">
            <v>15.26</v>
          </cell>
        </row>
        <row r="221">
          <cell r="B221">
            <v>130400294</v>
          </cell>
          <cell r="C221">
            <v>3458</v>
          </cell>
          <cell r="E221" t="str">
            <v>管子钳!600MM(24英寸)</v>
          </cell>
          <cell r="F221">
            <v>45899</v>
          </cell>
          <cell r="G221" t="str">
            <v>EA</v>
          </cell>
          <cell r="H221">
            <v>15.09</v>
          </cell>
        </row>
        <row r="222">
          <cell r="B222">
            <v>130600060</v>
          </cell>
          <cell r="C222">
            <v>3458</v>
          </cell>
          <cell r="E222" t="str">
            <v>Tape measure!50m</v>
          </cell>
          <cell r="F222">
            <v>45899</v>
          </cell>
          <cell r="G222" t="str">
            <v>EA</v>
          </cell>
          <cell r="H222">
            <v>15.04</v>
          </cell>
        </row>
        <row r="223">
          <cell r="B223">
            <v>190200318</v>
          </cell>
          <cell r="C223">
            <v>3458</v>
          </cell>
          <cell r="E223" t="str">
            <v>Belt Punch!BS529015 15 pcs 3–25 mm</v>
          </cell>
          <cell r="F223">
            <v>45899</v>
          </cell>
          <cell r="G223" t="str">
            <v>SET</v>
          </cell>
          <cell r="H223">
            <v>14.97</v>
          </cell>
        </row>
        <row r="224">
          <cell r="B224">
            <v>130800380</v>
          </cell>
          <cell r="C224">
            <v>3458</v>
          </cell>
          <cell r="E224" t="str">
            <v>Contact Electrode Cutting Nozzle! P80</v>
          </cell>
          <cell r="F224">
            <v>45899</v>
          </cell>
          <cell r="G224" t="str">
            <v>box</v>
          </cell>
          <cell r="H224">
            <v>14.76</v>
          </cell>
        </row>
        <row r="225">
          <cell r="B225">
            <v>131100099</v>
          </cell>
          <cell r="C225">
            <v>3458</v>
          </cell>
          <cell r="E225" t="str">
            <v>SSTDB!16mm</v>
          </cell>
          <cell r="F225">
            <v>45899</v>
          </cell>
          <cell r="G225" t="str">
            <v>EA</v>
          </cell>
          <cell r="H225">
            <v>14.47</v>
          </cell>
        </row>
        <row r="226">
          <cell r="B226">
            <v>130400192</v>
          </cell>
          <cell r="C226">
            <v>3458</v>
          </cell>
          <cell r="E226" t="str">
            <v>RNG slogging spanner!32mm</v>
          </cell>
          <cell r="F226">
            <v>45899</v>
          </cell>
          <cell r="G226" t="str">
            <v>EA</v>
          </cell>
          <cell r="H226">
            <v>14.33</v>
          </cell>
        </row>
        <row r="227">
          <cell r="B227">
            <v>130400196</v>
          </cell>
          <cell r="C227">
            <v>3458</v>
          </cell>
          <cell r="E227" t="str">
            <v>RNG slogging spanner!46mm</v>
          </cell>
          <cell r="F227">
            <v>45899</v>
          </cell>
          <cell r="G227" t="str">
            <v>EA</v>
          </cell>
          <cell r="H227">
            <v>14.27</v>
          </cell>
        </row>
        <row r="228">
          <cell r="B228">
            <v>130401110</v>
          </cell>
          <cell r="C228">
            <v>3458</v>
          </cell>
          <cell r="E228" t="str">
            <v>Hexagon socket!1inch!36mm</v>
          </cell>
          <cell r="F228">
            <v>45899</v>
          </cell>
          <cell r="G228" t="str">
            <v>EA</v>
          </cell>
          <cell r="H228">
            <v>13.9</v>
          </cell>
        </row>
        <row r="229">
          <cell r="B229">
            <v>40575519</v>
          </cell>
          <cell r="C229">
            <v>3458</v>
          </cell>
          <cell r="E229" t="str">
            <v>BOLT, HOLD DOWN M20 X 560MM MILD STEEL</v>
          </cell>
          <cell r="F229">
            <v>45552</v>
          </cell>
          <cell r="G229" t="str">
            <v>EA</v>
          </cell>
          <cell r="H229">
            <v>13.86</v>
          </cell>
        </row>
        <row r="230">
          <cell r="B230">
            <v>40252869</v>
          </cell>
          <cell r="C230" t="str">
            <v>TSAF</v>
          </cell>
          <cell r="E230" t="str">
            <v>VALVE, SAFETY KWIKOT, OPERATING</v>
          </cell>
          <cell r="F230">
            <v>45688</v>
          </cell>
          <cell r="G230" t="str">
            <v>EA</v>
          </cell>
          <cell r="H230">
            <v>13.4</v>
          </cell>
        </row>
        <row r="231">
          <cell r="B231">
            <v>130600160</v>
          </cell>
          <cell r="C231">
            <v>3458</v>
          </cell>
          <cell r="E231" t="str">
            <v>Spirit level!75.00cm!91604A_30inch</v>
          </cell>
          <cell r="F231">
            <v>45899</v>
          </cell>
          <cell r="G231" t="str">
            <v>EA</v>
          </cell>
          <cell r="H231">
            <v>13.18</v>
          </cell>
        </row>
        <row r="232">
          <cell r="B232">
            <v>130401109</v>
          </cell>
          <cell r="C232">
            <v>3458</v>
          </cell>
          <cell r="E232" t="str">
            <v>Hexagon socket!1inch!32mm</v>
          </cell>
          <cell r="F232">
            <v>45899</v>
          </cell>
          <cell r="G232" t="str">
            <v>EA</v>
          </cell>
          <cell r="H232">
            <v>12.75</v>
          </cell>
        </row>
        <row r="233">
          <cell r="B233">
            <v>130400195</v>
          </cell>
          <cell r="C233">
            <v>3458</v>
          </cell>
          <cell r="E233" t="str">
            <v>RNG slogging spanner!41mm</v>
          </cell>
          <cell r="F233">
            <v>45899</v>
          </cell>
          <cell r="G233" t="str">
            <v>EA</v>
          </cell>
          <cell r="H233">
            <v>12.63</v>
          </cell>
        </row>
        <row r="234">
          <cell r="B234">
            <v>130900107</v>
          </cell>
          <cell r="C234">
            <v>3458</v>
          </cell>
          <cell r="E234" t="str">
            <v>Grinding WH!200×25×32</v>
          </cell>
          <cell r="F234">
            <v>45899</v>
          </cell>
          <cell r="G234" t="str">
            <v>EA</v>
          </cell>
          <cell r="H234">
            <v>11.89</v>
          </cell>
        </row>
        <row r="235">
          <cell r="B235">
            <v>130100610</v>
          </cell>
          <cell r="C235">
            <v>3458</v>
          </cell>
          <cell r="E235" t="str">
            <v>CAMISOLE! 5T,6M</v>
          </cell>
          <cell r="F235">
            <v>45899</v>
          </cell>
          <cell r="G235" t="str">
            <v>EA</v>
          </cell>
          <cell r="H235">
            <v>11.82</v>
          </cell>
        </row>
        <row r="236">
          <cell r="B236">
            <v>130401117</v>
          </cell>
          <cell r="C236">
            <v>3458</v>
          </cell>
          <cell r="E236" t="str">
            <v>Hexagon socket!one-half inch!36mm</v>
          </cell>
          <cell r="F236">
            <v>45899</v>
          </cell>
          <cell r="G236" t="str">
            <v>EA</v>
          </cell>
          <cell r="H236">
            <v>11.75</v>
          </cell>
        </row>
        <row r="237">
          <cell r="B237">
            <v>40786148</v>
          </cell>
          <cell r="C237">
            <v>3458</v>
          </cell>
          <cell r="E237" t="str">
            <v>SEAL,OIL,REAR SKELETON,8/6-AH SLURRY PMP</v>
          </cell>
          <cell r="F237">
            <v>45820</v>
          </cell>
          <cell r="G237" t="str">
            <v>EA</v>
          </cell>
          <cell r="H237">
            <v>11.63</v>
          </cell>
        </row>
        <row r="238">
          <cell r="B238">
            <v>130401107</v>
          </cell>
          <cell r="C238">
            <v>3458</v>
          </cell>
          <cell r="E238" t="str">
            <v>Hexagon socket!1inch!27mm</v>
          </cell>
          <cell r="F238">
            <v>45899</v>
          </cell>
          <cell r="G238" t="str">
            <v>EA</v>
          </cell>
          <cell r="H238">
            <v>11.46</v>
          </cell>
        </row>
        <row r="239">
          <cell r="B239">
            <v>130401108</v>
          </cell>
          <cell r="C239">
            <v>3458</v>
          </cell>
          <cell r="E239" t="str">
            <v>Hexagon socket!1inch!24mm</v>
          </cell>
          <cell r="F239">
            <v>45899</v>
          </cell>
          <cell r="G239" t="str">
            <v>EA</v>
          </cell>
          <cell r="H239">
            <v>11.46</v>
          </cell>
        </row>
        <row r="240">
          <cell r="B240">
            <v>130401106</v>
          </cell>
          <cell r="C240">
            <v>3458</v>
          </cell>
          <cell r="E240" t="str">
            <v>Hexagon socket!1inch!30mm</v>
          </cell>
          <cell r="F240">
            <v>45899</v>
          </cell>
          <cell r="G240" t="str">
            <v>EA</v>
          </cell>
          <cell r="H240">
            <v>11.46</v>
          </cell>
        </row>
        <row r="241">
          <cell r="B241">
            <v>40757808</v>
          </cell>
          <cell r="C241">
            <v>3458</v>
          </cell>
          <cell r="E241" t="str">
            <v>AXES, 90CM,1.6KG</v>
          </cell>
          <cell r="F241">
            <v>45820</v>
          </cell>
          <cell r="G241" t="str">
            <v>EA</v>
          </cell>
          <cell r="H241">
            <v>11.16</v>
          </cell>
        </row>
        <row r="242">
          <cell r="B242">
            <v>130401116</v>
          </cell>
          <cell r="C242">
            <v>3458</v>
          </cell>
          <cell r="E242" t="str">
            <v>Hexagon socket!one-half inch!32mm</v>
          </cell>
          <cell r="F242">
            <v>45899</v>
          </cell>
          <cell r="G242" t="str">
            <v>EA</v>
          </cell>
          <cell r="H242">
            <v>10.89</v>
          </cell>
        </row>
        <row r="243">
          <cell r="B243">
            <v>40694675</v>
          </cell>
          <cell r="C243">
            <v>3458</v>
          </cell>
          <cell r="E243" t="str">
            <v>FRONT BEARING GLAND ,IS50-32, 22K</v>
          </cell>
          <cell r="F243">
            <v>45820</v>
          </cell>
          <cell r="G243" t="str">
            <v>EA</v>
          </cell>
          <cell r="H243">
            <v>10.8</v>
          </cell>
        </row>
        <row r="244">
          <cell r="B244">
            <v>40694676</v>
          </cell>
          <cell r="C244">
            <v>3458</v>
          </cell>
          <cell r="E244" t="str">
            <v>REAR BEARING GLAND ,IS50-32, 22K</v>
          </cell>
          <cell r="F244">
            <v>45553</v>
          </cell>
          <cell r="G244" t="str">
            <v>EA</v>
          </cell>
          <cell r="H244">
            <v>10.8</v>
          </cell>
        </row>
        <row r="245">
          <cell r="B245">
            <v>130600070</v>
          </cell>
          <cell r="C245">
            <v>3458</v>
          </cell>
          <cell r="E245" t="str">
            <v>AR!250×500mm</v>
          </cell>
          <cell r="F245">
            <v>45899</v>
          </cell>
          <cell r="G245" t="str">
            <v>EA</v>
          </cell>
          <cell r="H245">
            <v>10.44</v>
          </cell>
        </row>
        <row r="246">
          <cell r="B246">
            <v>40248672</v>
          </cell>
          <cell r="C246" t="str">
            <v>TSAF</v>
          </cell>
          <cell r="E246" t="str">
            <v>TEE, PIPE HDPE, PLASSON, 20MM</v>
          </cell>
          <cell r="F246">
            <v>45819</v>
          </cell>
          <cell r="G246" t="str">
            <v>EA</v>
          </cell>
          <cell r="H246">
            <v>10.17</v>
          </cell>
        </row>
        <row r="247">
          <cell r="B247">
            <v>130401118</v>
          </cell>
          <cell r="C247">
            <v>3458</v>
          </cell>
          <cell r="E247" t="str">
            <v>Hexagon socket!one-half inch!30mm</v>
          </cell>
          <cell r="F247">
            <v>45899</v>
          </cell>
          <cell r="G247" t="str">
            <v>EA</v>
          </cell>
          <cell r="H247">
            <v>9.4499999999999993</v>
          </cell>
        </row>
        <row r="248">
          <cell r="B248">
            <v>130600178</v>
          </cell>
          <cell r="C248">
            <v>3458</v>
          </cell>
          <cell r="E248" t="str">
            <v>COMPASS!400MM;CHANGLU ALLOY</v>
          </cell>
          <cell r="F248">
            <v>45899</v>
          </cell>
          <cell r="G248" t="str">
            <v>EA</v>
          </cell>
          <cell r="H248">
            <v>9.24</v>
          </cell>
        </row>
        <row r="249">
          <cell r="B249">
            <v>130100609</v>
          </cell>
          <cell r="C249">
            <v>3458</v>
          </cell>
          <cell r="E249" t="str">
            <v>CAMISOLE! 5T,4M</v>
          </cell>
          <cell r="F249">
            <v>45899</v>
          </cell>
          <cell r="G249" t="str">
            <v>EA</v>
          </cell>
          <cell r="H249">
            <v>9.17</v>
          </cell>
        </row>
        <row r="250">
          <cell r="B250">
            <v>130400193</v>
          </cell>
          <cell r="C250">
            <v>3458</v>
          </cell>
          <cell r="E250" t="str">
            <v>RNG slogging spanner!34mm</v>
          </cell>
          <cell r="F250">
            <v>45899</v>
          </cell>
          <cell r="G250" t="str">
            <v>EA</v>
          </cell>
          <cell r="H250">
            <v>9.11</v>
          </cell>
        </row>
        <row r="251">
          <cell r="B251">
            <v>40575528</v>
          </cell>
          <cell r="C251">
            <v>3458</v>
          </cell>
          <cell r="E251" t="str">
            <v>BOLT, M16 X 425MM HOLD DOWN</v>
          </cell>
          <cell r="F251">
            <v>45552</v>
          </cell>
          <cell r="G251" t="str">
            <v>EA</v>
          </cell>
          <cell r="H251">
            <v>8.86</v>
          </cell>
        </row>
        <row r="252">
          <cell r="B252">
            <v>40250260</v>
          </cell>
          <cell r="C252">
            <v>3458</v>
          </cell>
          <cell r="E252" t="str">
            <v>VALVE, BALL SIZE:  15MM</v>
          </cell>
          <cell r="F252">
            <v>45819</v>
          </cell>
          <cell r="G252" t="str">
            <v>EA</v>
          </cell>
          <cell r="H252">
            <v>8.69</v>
          </cell>
        </row>
        <row r="253">
          <cell r="B253">
            <v>40622697</v>
          </cell>
          <cell r="C253" t="str">
            <v>TSAF</v>
          </cell>
          <cell r="E253" t="str">
            <v>NUT, M6M M36 8 FZB ISO 4032, JAW CRUSHER</v>
          </cell>
          <cell r="F253">
            <v>46001</v>
          </cell>
          <cell r="G253" t="str">
            <v>EA</v>
          </cell>
          <cell r="H253">
            <v>8.58</v>
          </cell>
        </row>
        <row r="254">
          <cell r="B254">
            <v>40701493</v>
          </cell>
          <cell r="C254" t="str">
            <v>TSAF</v>
          </cell>
          <cell r="E254" t="str">
            <v>,ZB2-BWM C  220VAC SCHNEIDER</v>
          </cell>
          <cell r="F254">
            <v>46000</v>
          </cell>
          <cell r="G254" t="str">
            <v>EA</v>
          </cell>
          <cell r="H254">
            <v>8.56</v>
          </cell>
        </row>
        <row r="255">
          <cell r="B255">
            <v>120101278</v>
          </cell>
          <cell r="C255">
            <v>3458</v>
          </cell>
          <cell r="E255" t="str">
            <v>ElectronicScale!75KG!BatteryPowered!Port</v>
          </cell>
          <cell r="F255">
            <v>45899</v>
          </cell>
          <cell r="G255" t="str">
            <v>EA</v>
          </cell>
          <cell r="H255">
            <v>8.4600000000000009</v>
          </cell>
        </row>
        <row r="256">
          <cell r="B256">
            <v>130400207</v>
          </cell>
          <cell r="C256">
            <v>3458</v>
          </cell>
          <cell r="E256" t="str">
            <v>Hex key wrench! 18 mm</v>
          </cell>
          <cell r="F256">
            <v>45899</v>
          </cell>
          <cell r="G256" t="str">
            <v>EA</v>
          </cell>
          <cell r="H256">
            <v>7.83</v>
          </cell>
        </row>
        <row r="257">
          <cell r="B257">
            <v>130600141</v>
          </cell>
          <cell r="C257">
            <v>3458</v>
          </cell>
          <cell r="E257" t="str">
            <v>SPIRIT LEVEL!600.00CM</v>
          </cell>
          <cell r="F257">
            <v>45899</v>
          </cell>
          <cell r="G257" t="str">
            <v>EA</v>
          </cell>
          <cell r="H257">
            <v>7.7</v>
          </cell>
        </row>
        <row r="258">
          <cell r="B258">
            <v>40151235</v>
          </cell>
          <cell r="C258">
            <v>3458</v>
          </cell>
          <cell r="E258" t="str">
            <v>ELBOW 32MM THREADED, 3000LBS</v>
          </cell>
          <cell r="F258">
            <v>45552</v>
          </cell>
          <cell r="G258" t="str">
            <v>EA</v>
          </cell>
          <cell r="H258">
            <v>7.13</v>
          </cell>
        </row>
        <row r="259">
          <cell r="B259">
            <v>40627961</v>
          </cell>
          <cell r="C259">
            <v>3458</v>
          </cell>
          <cell r="E259" t="str">
            <v>CONNECTOR,STRT,COOLER,DM45</v>
          </cell>
          <cell r="F259">
            <v>45552</v>
          </cell>
          <cell r="G259" t="str">
            <v>EA</v>
          </cell>
          <cell r="H259">
            <v>7.1</v>
          </cell>
        </row>
        <row r="260">
          <cell r="B260">
            <v>40061584</v>
          </cell>
          <cell r="C260">
            <v>3458</v>
          </cell>
          <cell r="E260" t="str">
            <v>PLIERS, NEEDLE NOSE PLIER KLEIN D203-8</v>
          </cell>
          <cell r="F260">
            <v>45552</v>
          </cell>
          <cell r="G260" t="str">
            <v>EA</v>
          </cell>
          <cell r="H260">
            <v>7.02</v>
          </cell>
        </row>
        <row r="261">
          <cell r="B261">
            <v>130400334</v>
          </cell>
          <cell r="C261">
            <v>3458</v>
          </cell>
          <cell r="E261" t="str">
            <v>OctagonaLhammer!3P!Wooden HDL</v>
          </cell>
          <cell r="F261">
            <v>45899</v>
          </cell>
          <cell r="G261" t="str">
            <v>EA</v>
          </cell>
          <cell r="H261">
            <v>6.87</v>
          </cell>
        </row>
        <row r="262">
          <cell r="B262">
            <v>130100608</v>
          </cell>
          <cell r="C262">
            <v>3458</v>
          </cell>
          <cell r="E262" t="str">
            <v>CAMISOLE! 3T,4M</v>
          </cell>
          <cell r="F262">
            <v>45899</v>
          </cell>
          <cell r="G262" t="str">
            <v>EA</v>
          </cell>
          <cell r="H262">
            <v>6.75</v>
          </cell>
        </row>
        <row r="263">
          <cell r="B263">
            <v>40703992</v>
          </cell>
          <cell r="C263">
            <v>3458</v>
          </cell>
          <cell r="E263" t="str">
            <v>WATER PUMP O-RING SEAL</v>
          </cell>
          <cell r="F263">
            <v>45553</v>
          </cell>
          <cell r="G263" t="str">
            <v>EA</v>
          </cell>
          <cell r="H263">
            <v>6.7</v>
          </cell>
        </row>
        <row r="264">
          <cell r="B264">
            <v>130400139</v>
          </cell>
          <cell r="C264">
            <v>3458</v>
          </cell>
          <cell r="E264" t="str">
            <v>Adjustable wrench! 300 mm (12 inches)</v>
          </cell>
          <cell r="F264">
            <v>45899</v>
          </cell>
          <cell r="G264" t="str">
            <v>EA</v>
          </cell>
          <cell r="H264">
            <v>6.6</v>
          </cell>
        </row>
        <row r="265">
          <cell r="B265">
            <v>130401112</v>
          </cell>
          <cell r="C265">
            <v>3458</v>
          </cell>
          <cell r="E265" t="str">
            <v>Hexagon socket!one-half inch!24mm</v>
          </cell>
          <cell r="F265">
            <v>45899</v>
          </cell>
          <cell r="G265" t="str">
            <v>EA</v>
          </cell>
          <cell r="H265">
            <v>6.58</v>
          </cell>
        </row>
        <row r="266">
          <cell r="B266">
            <v>40780155</v>
          </cell>
          <cell r="C266">
            <v>3458</v>
          </cell>
          <cell r="E266" t="str">
            <v>CROWBAR,35X25X13CM,STEEL</v>
          </cell>
          <cell r="F266">
            <v>45820</v>
          </cell>
          <cell r="G266" t="str">
            <v>EA</v>
          </cell>
          <cell r="H266">
            <v>6.38</v>
          </cell>
        </row>
        <row r="267">
          <cell r="B267">
            <v>40755543</v>
          </cell>
          <cell r="C267" t="str">
            <v>TSAF</v>
          </cell>
          <cell r="E267" t="str">
            <v>BOW SHACKLE,316,6.5T</v>
          </cell>
          <cell r="F267">
            <v>45930</v>
          </cell>
          <cell r="G267" t="str">
            <v>EA</v>
          </cell>
          <cell r="H267">
            <v>6.34</v>
          </cell>
        </row>
        <row r="268">
          <cell r="B268">
            <v>130400520</v>
          </cell>
          <cell r="C268">
            <v>3458</v>
          </cell>
          <cell r="E268" t="str">
            <v>Flathead Screwdriver! 8×250 mm! Standard</v>
          </cell>
          <cell r="F268">
            <v>45930</v>
          </cell>
          <cell r="G268" t="str">
            <v>EA</v>
          </cell>
          <cell r="H268">
            <v>6.02</v>
          </cell>
        </row>
        <row r="269">
          <cell r="B269">
            <v>130400205</v>
          </cell>
          <cell r="C269">
            <v>3458</v>
          </cell>
          <cell r="E269" t="str">
            <v>Hex key wrench! 16 mm</v>
          </cell>
          <cell r="F269">
            <v>45899</v>
          </cell>
          <cell r="G269" t="str">
            <v>EA</v>
          </cell>
          <cell r="H269">
            <v>5.63</v>
          </cell>
        </row>
        <row r="270">
          <cell r="B270">
            <v>40061584</v>
          </cell>
          <cell r="C270" t="str">
            <v>TSAF</v>
          </cell>
          <cell r="E270" t="str">
            <v>PLIERS, NEEDLE NOSE PLIER KLEIN D203-8</v>
          </cell>
          <cell r="F270">
            <v>45552</v>
          </cell>
          <cell r="G270" t="str">
            <v>EA</v>
          </cell>
          <cell r="H270">
            <v>5.58</v>
          </cell>
        </row>
        <row r="271">
          <cell r="B271">
            <v>40250260</v>
          </cell>
          <cell r="C271" t="str">
            <v>TSAF</v>
          </cell>
          <cell r="E271" t="str">
            <v>VALVE, BALL SIZE:  15MM</v>
          </cell>
          <cell r="F271">
            <v>45819</v>
          </cell>
          <cell r="G271" t="str">
            <v>EA</v>
          </cell>
          <cell r="H271">
            <v>5.56</v>
          </cell>
        </row>
        <row r="272">
          <cell r="B272">
            <v>40683814</v>
          </cell>
          <cell r="C272" t="str">
            <v>TSAF</v>
          </cell>
          <cell r="E272" t="str">
            <v>ROUND THREADING DIE (METRIC), M24</v>
          </cell>
          <cell r="F272">
            <v>45552</v>
          </cell>
          <cell r="G272" t="str">
            <v>EA</v>
          </cell>
          <cell r="H272">
            <v>5.25</v>
          </cell>
        </row>
        <row r="273">
          <cell r="B273">
            <v>40755541</v>
          </cell>
          <cell r="C273">
            <v>3458</v>
          </cell>
          <cell r="E273" t="str">
            <v>BOW SHACKLE,316,3.25T</v>
          </cell>
          <cell r="F273">
            <v>45820</v>
          </cell>
          <cell r="G273" t="str">
            <v>EA</v>
          </cell>
          <cell r="H273">
            <v>5.24</v>
          </cell>
        </row>
        <row r="274">
          <cell r="B274">
            <v>40535511</v>
          </cell>
          <cell r="C274">
            <v>3458</v>
          </cell>
          <cell r="E274" t="str">
            <v>BUCKET, PLASTIC, 20 LITER, WITH HANDLE</v>
          </cell>
          <cell r="F274">
            <v>45552</v>
          </cell>
          <cell r="G274" t="str">
            <v>EA</v>
          </cell>
          <cell r="H274">
            <v>5.21</v>
          </cell>
        </row>
        <row r="275">
          <cell r="B275">
            <v>40691043</v>
          </cell>
          <cell r="C275">
            <v>3458</v>
          </cell>
          <cell r="E275" t="str">
            <v>COTTER PIN ,HP100</v>
          </cell>
          <cell r="F275">
            <v>46000</v>
          </cell>
          <cell r="G275" t="str">
            <v>EA</v>
          </cell>
          <cell r="H275">
            <v>5.0999999999999996</v>
          </cell>
        </row>
        <row r="276">
          <cell r="B276">
            <v>40635412</v>
          </cell>
          <cell r="C276">
            <v>3458</v>
          </cell>
          <cell r="E276" t="str">
            <v>SCREW,CONVEYOR M16*100 8.8A3G, CJ815</v>
          </cell>
          <cell r="F276">
            <v>45552</v>
          </cell>
          <cell r="G276" t="str">
            <v>EA</v>
          </cell>
          <cell r="H276">
            <v>4.96</v>
          </cell>
        </row>
        <row r="277">
          <cell r="B277">
            <v>130400049</v>
          </cell>
          <cell r="C277">
            <v>3458</v>
          </cell>
          <cell r="E277" t="str">
            <v>Silicone sealant gun</v>
          </cell>
          <cell r="F277">
            <v>45899</v>
          </cell>
          <cell r="G277" t="str">
            <v>EA</v>
          </cell>
          <cell r="H277">
            <v>4.93</v>
          </cell>
        </row>
        <row r="278">
          <cell r="B278">
            <v>131300547</v>
          </cell>
          <cell r="C278">
            <v>3458</v>
          </cell>
          <cell r="E278" t="str">
            <v>Electric pick and chisel!25*350mm</v>
          </cell>
          <cell r="F278">
            <v>45899</v>
          </cell>
          <cell r="G278" t="str">
            <v>EA</v>
          </cell>
          <cell r="H278">
            <v>4.8899999999999997</v>
          </cell>
        </row>
        <row r="279">
          <cell r="B279">
            <v>40635412</v>
          </cell>
          <cell r="C279" t="str">
            <v>TSAF</v>
          </cell>
          <cell r="E279" t="str">
            <v>SCREW,CONVEYOR M16*100 8.8A3G, CJ815</v>
          </cell>
          <cell r="F279">
            <v>45552</v>
          </cell>
          <cell r="G279" t="str">
            <v>EA</v>
          </cell>
          <cell r="H279">
            <v>4.88</v>
          </cell>
        </row>
        <row r="280">
          <cell r="B280">
            <v>130401121</v>
          </cell>
          <cell r="C280">
            <v>3458</v>
          </cell>
          <cell r="E280" t="str">
            <v>Hexagon socket!one-half inch!18mm</v>
          </cell>
          <cell r="F280">
            <v>45899</v>
          </cell>
          <cell r="G280" t="str">
            <v>EA</v>
          </cell>
          <cell r="H280">
            <v>4.72</v>
          </cell>
        </row>
        <row r="281">
          <cell r="B281">
            <v>130401124</v>
          </cell>
          <cell r="C281">
            <v>3458</v>
          </cell>
          <cell r="E281" t="str">
            <v>Hexagon socket!one-half inch!19mm</v>
          </cell>
          <cell r="F281">
            <v>45899</v>
          </cell>
          <cell r="G281" t="str">
            <v>EA</v>
          </cell>
          <cell r="H281">
            <v>4.72</v>
          </cell>
        </row>
        <row r="282">
          <cell r="B282">
            <v>130401115</v>
          </cell>
          <cell r="C282">
            <v>3458</v>
          </cell>
          <cell r="E282" t="str">
            <v>Hexagon socket!one-half inch!17mm</v>
          </cell>
          <cell r="F282">
            <v>45899</v>
          </cell>
          <cell r="G282" t="str">
            <v>EA</v>
          </cell>
          <cell r="H282">
            <v>4.58</v>
          </cell>
        </row>
        <row r="283">
          <cell r="B283">
            <v>40683814</v>
          </cell>
          <cell r="C283">
            <v>3458</v>
          </cell>
          <cell r="E283" t="str">
            <v>ROUND THREADING DIE (METRIC), M24</v>
          </cell>
          <cell r="F283">
            <v>45552</v>
          </cell>
          <cell r="G283" t="str">
            <v>EA</v>
          </cell>
          <cell r="H283">
            <v>4.5599999999999996</v>
          </cell>
        </row>
        <row r="284">
          <cell r="B284">
            <v>40160498</v>
          </cell>
          <cell r="C284">
            <v>3458</v>
          </cell>
          <cell r="E284" t="str">
            <v>LAMP, FLUORESCENT COMPACT, ENERGY</v>
          </cell>
          <cell r="F284">
            <v>45688</v>
          </cell>
          <cell r="G284" t="str">
            <v>EA</v>
          </cell>
          <cell r="H284">
            <v>4.37</v>
          </cell>
        </row>
        <row r="285">
          <cell r="B285">
            <v>130401120</v>
          </cell>
          <cell r="C285">
            <v>3458</v>
          </cell>
          <cell r="E285" t="str">
            <v>Hexagon socket!one-half inch!14mm</v>
          </cell>
          <cell r="F285">
            <v>45899</v>
          </cell>
          <cell r="G285" t="str">
            <v>EA</v>
          </cell>
          <cell r="H285">
            <v>4.29</v>
          </cell>
        </row>
        <row r="286">
          <cell r="B286">
            <v>130401119</v>
          </cell>
          <cell r="C286">
            <v>3458</v>
          </cell>
          <cell r="E286" t="str">
            <v>Hexagon socket!one-half inch!16mm</v>
          </cell>
          <cell r="F286">
            <v>45899</v>
          </cell>
          <cell r="G286" t="str">
            <v>EA</v>
          </cell>
          <cell r="H286">
            <v>4.29</v>
          </cell>
        </row>
        <row r="287">
          <cell r="B287">
            <v>130400204</v>
          </cell>
          <cell r="C287">
            <v>3458</v>
          </cell>
          <cell r="E287" t="str">
            <v>Allen WR!14mm</v>
          </cell>
          <cell r="F287">
            <v>45899</v>
          </cell>
          <cell r="G287" t="str">
            <v>EA</v>
          </cell>
          <cell r="H287">
            <v>4.21</v>
          </cell>
        </row>
        <row r="288">
          <cell r="B288">
            <v>40683812</v>
          </cell>
          <cell r="C288" t="str">
            <v>TSAF</v>
          </cell>
          <cell r="E288" t="str">
            <v>ROUND THREADING DIE (METRIC), M20</v>
          </cell>
          <cell r="F288">
            <v>45552</v>
          </cell>
          <cell r="G288" t="str">
            <v>EA</v>
          </cell>
          <cell r="H288">
            <v>4.16</v>
          </cell>
        </row>
        <row r="289">
          <cell r="B289">
            <v>190100969</v>
          </cell>
          <cell r="C289">
            <v>3458</v>
          </cell>
          <cell r="E289" t="str">
            <v>Weldinghelmet!632P!INCTRANSPlens633-04×1</v>
          </cell>
          <cell r="F289">
            <v>45900</v>
          </cell>
          <cell r="G289" t="str">
            <v>EA</v>
          </cell>
          <cell r="H289">
            <v>3.91</v>
          </cell>
        </row>
        <row r="290">
          <cell r="B290">
            <v>40684095</v>
          </cell>
          <cell r="C290" t="str">
            <v>TSAF</v>
          </cell>
          <cell r="E290" t="str">
            <v>HORIZONTAL RULER</v>
          </cell>
          <cell r="F290">
            <v>45820</v>
          </cell>
          <cell r="G290" t="str">
            <v>EA</v>
          </cell>
          <cell r="H290">
            <v>3.9</v>
          </cell>
        </row>
        <row r="291">
          <cell r="B291">
            <v>40628081</v>
          </cell>
          <cell r="C291">
            <v>3458</v>
          </cell>
          <cell r="E291" t="str">
            <v>O-RING,AIR SYSTEM,DRILL D65</v>
          </cell>
          <cell r="F291">
            <v>45552</v>
          </cell>
          <cell r="G291" t="str">
            <v>EA</v>
          </cell>
          <cell r="H291">
            <v>3.7</v>
          </cell>
        </row>
        <row r="292">
          <cell r="B292">
            <v>40683812</v>
          </cell>
          <cell r="C292">
            <v>3458</v>
          </cell>
          <cell r="E292" t="str">
            <v>ROUND THREADING DIE (METRIC), M20</v>
          </cell>
          <cell r="F292">
            <v>45552</v>
          </cell>
          <cell r="G292" t="str">
            <v>EA</v>
          </cell>
          <cell r="H292">
            <v>3.66</v>
          </cell>
        </row>
        <row r="293">
          <cell r="B293">
            <v>160103164</v>
          </cell>
          <cell r="C293">
            <v>3458</v>
          </cell>
          <cell r="E293" t="str">
            <v>HINGE FOR CORNER CABINETS!135°</v>
          </cell>
          <cell r="F293">
            <v>45899</v>
          </cell>
          <cell r="G293" t="str">
            <v>EA</v>
          </cell>
          <cell r="H293">
            <v>3.52</v>
          </cell>
        </row>
        <row r="294">
          <cell r="B294">
            <v>130800412</v>
          </cell>
          <cell r="C294">
            <v>3458</v>
          </cell>
          <cell r="E294" t="str">
            <v>WMQC!DKJ35-50IMMFSB35~50mm²13mmPlug</v>
          </cell>
          <cell r="F294">
            <v>45930</v>
          </cell>
          <cell r="G294" t="str">
            <v>SET</v>
          </cell>
          <cell r="H294">
            <v>3.43</v>
          </cell>
        </row>
        <row r="295">
          <cell r="B295">
            <v>130600033</v>
          </cell>
          <cell r="C295">
            <v>3458</v>
          </cell>
          <cell r="E295" t="str">
            <v>Feeler GA!0.02-1.00mm!100mm</v>
          </cell>
          <cell r="F295">
            <v>45899</v>
          </cell>
          <cell r="G295" t="str">
            <v>EA</v>
          </cell>
          <cell r="H295">
            <v>3.38</v>
          </cell>
        </row>
        <row r="296">
          <cell r="B296">
            <v>40755541</v>
          </cell>
          <cell r="C296" t="str">
            <v>TSAF</v>
          </cell>
          <cell r="E296" t="str">
            <v>BOW SHACKLE,316,3.25T</v>
          </cell>
          <cell r="F296">
            <v>45820</v>
          </cell>
          <cell r="G296" t="str">
            <v>EA</v>
          </cell>
          <cell r="H296">
            <v>3.33</v>
          </cell>
        </row>
        <row r="297">
          <cell r="B297">
            <v>130600069</v>
          </cell>
          <cell r="C297">
            <v>3458</v>
          </cell>
          <cell r="E297" t="str">
            <v>AR!150×300mm</v>
          </cell>
          <cell r="F297">
            <v>45899</v>
          </cell>
          <cell r="G297" t="str">
            <v>EA</v>
          </cell>
          <cell r="H297">
            <v>3.23</v>
          </cell>
        </row>
        <row r="298">
          <cell r="B298">
            <v>140200454</v>
          </cell>
          <cell r="C298">
            <v>3458</v>
          </cell>
          <cell r="E298" t="str">
            <v>PTFE flange gasket! DN350-PN1.6MPa! δ=5</v>
          </cell>
          <cell r="F298">
            <v>45899</v>
          </cell>
          <cell r="G298" t="str">
            <v>EA</v>
          </cell>
          <cell r="H298">
            <v>3.12</v>
          </cell>
        </row>
        <row r="299">
          <cell r="B299">
            <v>40701493</v>
          </cell>
          <cell r="C299">
            <v>3458</v>
          </cell>
          <cell r="E299" t="str">
            <v>,ZB2-BWM C  220VAC SCHNEIDER</v>
          </cell>
          <cell r="F299">
            <v>46000</v>
          </cell>
          <cell r="G299" t="str">
            <v>EA</v>
          </cell>
          <cell r="H299">
            <v>3.09</v>
          </cell>
        </row>
        <row r="300">
          <cell r="B300">
            <v>130400523</v>
          </cell>
          <cell r="C300">
            <v>3458</v>
          </cell>
          <cell r="E300" t="str">
            <v>Phillips Screwdriver! 8×250 mm! Standard</v>
          </cell>
          <cell r="F300">
            <v>45899</v>
          </cell>
          <cell r="G300" t="str">
            <v>EA</v>
          </cell>
          <cell r="H300">
            <v>3</v>
          </cell>
        </row>
        <row r="301">
          <cell r="B301">
            <v>40535511</v>
          </cell>
          <cell r="C301" t="str">
            <v>TSAF</v>
          </cell>
          <cell r="E301" t="str">
            <v>BUCKET, PLASTIC, 20 LITER, WITH HANDLE</v>
          </cell>
          <cell r="F301">
            <v>45552</v>
          </cell>
          <cell r="G301" t="str">
            <v>EA</v>
          </cell>
          <cell r="H301">
            <v>2.9</v>
          </cell>
        </row>
        <row r="302">
          <cell r="B302">
            <v>40133381</v>
          </cell>
          <cell r="C302">
            <v>3458</v>
          </cell>
          <cell r="E302" t="str">
            <v>PAINT, AEROSOL COLOR:  RED</v>
          </cell>
          <cell r="F302">
            <v>45819</v>
          </cell>
          <cell r="G302" t="str">
            <v>CA</v>
          </cell>
          <cell r="H302">
            <v>2.76</v>
          </cell>
        </row>
        <row r="303">
          <cell r="B303">
            <v>130600145</v>
          </cell>
          <cell r="C303">
            <v>3458</v>
          </cell>
          <cell r="E303" t="str">
            <v>RULER!500.00MM</v>
          </cell>
          <cell r="F303">
            <v>45899</v>
          </cell>
          <cell r="G303" t="str">
            <v>EA</v>
          </cell>
          <cell r="H303">
            <v>2.61</v>
          </cell>
        </row>
        <row r="304">
          <cell r="B304">
            <v>40695796</v>
          </cell>
          <cell r="C304">
            <v>3458</v>
          </cell>
          <cell r="E304" t="str">
            <v>STUFFING BOX O-RING</v>
          </cell>
          <cell r="F304">
            <v>46000</v>
          </cell>
          <cell r="G304" t="str">
            <v>EA</v>
          </cell>
          <cell r="H304">
            <v>2.57</v>
          </cell>
        </row>
        <row r="305">
          <cell r="B305">
            <v>130600054</v>
          </cell>
          <cell r="C305">
            <v>3458</v>
          </cell>
          <cell r="E305" t="str">
            <v>STLtape measure!3m</v>
          </cell>
          <cell r="F305">
            <v>45899</v>
          </cell>
          <cell r="G305" t="str">
            <v>EA</v>
          </cell>
          <cell r="H305">
            <v>2.54</v>
          </cell>
        </row>
        <row r="306">
          <cell r="B306">
            <v>140200453</v>
          </cell>
          <cell r="C306">
            <v>3458</v>
          </cell>
          <cell r="E306" t="str">
            <v>PTFE flange gasket! DN300-PN1.6MPa! δ=5</v>
          </cell>
          <cell r="F306">
            <v>45899</v>
          </cell>
          <cell r="G306" t="str">
            <v>EA</v>
          </cell>
          <cell r="H306">
            <v>2.5299999999999998</v>
          </cell>
        </row>
        <row r="307">
          <cell r="B307">
            <v>40160498</v>
          </cell>
          <cell r="C307" t="str">
            <v>TSAF</v>
          </cell>
          <cell r="E307" t="str">
            <v>LAMP, FLUORESCENT COMPACT, ENERGY</v>
          </cell>
          <cell r="F307">
            <v>45688</v>
          </cell>
          <cell r="G307" t="str">
            <v>EA</v>
          </cell>
          <cell r="H307">
            <v>2.38</v>
          </cell>
        </row>
        <row r="308">
          <cell r="B308">
            <v>40154808</v>
          </cell>
          <cell r="C308">
            <v>3458</v>
          </cell>
          <cell r="E308" t="str">
            <v>MOPHEAD</v>
          </cell>
          <cell r="F308">
            <v>45930</v>
          </cell>
          <cell r="G308" t="str">
            <v>EA</v>
          </cell>
          <cell r="H308">
            <v>2.34</v>
          </cell>
        </row>
        <row r="309">
          <cell r="B309">
            <v>130900094</v>
          </cell>
          <cell r="C309">
            <v>3458</v>
          </cell>
          <cell r="E309" t="str">
            <v>Cutting disc!350mm!Resin</v>
          </cell>
          <cell r="F309">
            <v>45899</v>
          </cell>
          <cell r="G309" t="str">
            <v>EA</v>
          </cell>
          <cell r="H309">
            <v>2.34</v>
          </cell>
        </row>
        <row r="310">
          <cell r="B310">
            <v>40683808</v>
          </cell>
          <cell r="C310" t="str">
            <v>TSAF</v>
          </cell>
          <cell r="E310" t="str">
            <v>ROUND THREADING DIE (METRIC), M12</v>
          </cell>
          <cell r="F310">
            <v>45552</v>
          </cell>
          <cell r="G310" t="str">
            <v>EA</v>
          </cell>
          <cell r="H310">
            <v>2.2599999999999998</v>
          </cell>
        </row>
        <row r="311">
          <cell r="B311">
            <v>40683809</v>
          </cell>
          <cell r="C311" t="str">
            <v>TSAF</v>
          </cell>
          <cell r="E311" t="str">
            <v>ROUND THREADING DIE (METRIC), M14</v>
          </cell>
          <cell r="F311">
            <v>45552</v>
          </cell>
          <cell r="G311" t="str">
            <v>EA</v>
          </cell>
          <cell r="H311">
            <v>2.2599999999999998</v>
          </cell>
        </row>
        <row r="312">
          <cell r="B312">
            <v>130600056</v>
          </cell>
          <cell r="C312">
            <v>3458</v>
          </cell>
          <cell r="E312" t="str">
            <v>Steel tape measure! 5M</v>
          </cell>
          <cell r="F312">
            <v>45899</v>
          </cell>
          <cell r="G312" t="str">
            <v>EA</v>
          </cell>
          <cell r="H312">
            <v>2.15</v>
          </cell>
        </row>
        <row r="313">
          <cell r="B313">
            <v>40133381</v>
          </cell>
          <cell r="C313" t="str">
            <v>TSAF</v>
          </cell>
          <cell r="E313" t="str">
            <v>PAINT, AEROSOL COLOR:  RED</v>
          </cell>
          <cell r="F313">
            <v>45819</v>
          </cell>
          <cell r="G313" t="str">
            <v>CA</v>
          </cell>
          <cell r="H313">
            <v>2.14</v>
          </cell>
        </row>
        <row r="314">
          <cell r="B314">
            <v>140200452</v>
          </cell>
          <cell r="C314">
            <v>3458</v>
          </cell>
          <cell r="E314" t="str">
            <v>PTFE flange gasket! DN250-PN1.6MPa! δ=5</v>
          </cell>
          <cell r="F314">
            <v>45899</v>
          </cell>
          <cell r="G314" t="str">
            <v>EA</v>
          </cell>
          <cell r="H314">
            <v>2.14</v>
          </cell>
        </row>
        <row r="315">
          <cell r="B315">
            <v>40683809</v>
          </cell>
          <cell r="C315">
            <v>3458</v>
          </cell>
          <cell r="E315" t="str">
            <v>ROUND THREADING DIE (METRIC), M14</v>
          </cell>
          <cell r="F315">
            <v>45552</v>
          </cell>
          <cell r="G315" t="str">
            <v>EA</v>
          </cell>
          <cell r="H315">
            <v>2.12</v>
          </cell>
        </row>
        <row r="316">
          <cell r="B316">
            <v>40683808</v>
          </cell>
          <cell r="C316">
            <v>3458</v>
          </cell>
          <cell r="E316" t="str">
            <v>ROUND THREADING DIE (METRIC), M12</v>
          </cell>
          <cell r="F316">
            <v>45552</v>
          </cell>
          <cell r="G316" t="str">
            <v>EA</v>
          </cell>
          <cell r="H316">
            <v>2.08</v>
          </cell>
        </row>
        <row r="317">
          <cell r="B317">
            <v>40248648</v>
          </cell>
          <cell r="C317">
            <v>3458</v>
          </cell>
          <cell r="E317" t="str">
            <v>ELBOW, HDPE, PLASSON, 20MM</v>
          </cell>
          <cell r="F317">
            <v>45819</v>
          </cell>
          <cell r="G317" t="str">
            <v>EA</v>
          </cell>
          <cell r="H317">
            <v>1.72</v>
          </cell>
        </row>
        <row r="318">
          <cell r="B318">
            <v>140200451</v>
          </cell>
          <cell r="C318">
            <v>3458</v>
          </cell>
          <cell r="E318" t="str">
            <v>PTFE flange gasket, DN200-PN1.6MPa, δ=5</v>
          </cell>
          <cell r="F318">
            <v>45899</v>
          </cell>
          <cell r="G318" t="str">
            <v>EA</v>
          </cell>
          <cell r="H318">
            <v>1.63</v>
          </cell>
        </row>
        <row r="319">
          <cell r="B319">
            <v>131100274</v>
          </cell>
          <cell r="C319">
            <v>3458</v>
          </cell>
          <cell r="E319" t="str">
            <v>RLR brush!8IN</v>
          </cell>
          <cell r="F319">
            <v>45899</v>
          </cell>
          <cell r="G319" t="str">
            <v>EA</v>
          </cell>
          <cell r="H319">
            <v>1.62</v>
          </cell>
        </row>
        <row r="320">
          <cell r="B320">
            <v>40248672</v>
          </cell>
          <cell r="C320">
            <v>3458</v>
          </cell>
          <cell r="E320" t="str">
            <v>TEE, PIPE HDPE, PLASSON, 20MM</v>
          </cell>
          <cell r="F320">
            <v>45819</v>
          </cell>
          <cell r="G320" t="str">
            <v>EA</v>
          </cell>
          <cell r="H320">
            <v>1.5</v>
          </cell>
        </row>
        <row r="321">
          <cell r="B321">
            <v>140200450</v>
          </cell>
          <cell r="C321">
            <v>3458</v>
          </cell>
          <cell r="E321" t="str">
            <v>PTFE flange gasket, DN150-PN1.6MPa, δ=5</v>
          </cell>
          <cell r="F321">
            <v>45899</v>
          </cell>
          <cell r="G321" t="str">
            <v>EA</v>
          </cell>
          <cell r="H321">
            <v>1.4</v>
          </cell>
        </row>
        <row r="322">
          <cell r="B322">
            <v>40703649</v>
          </cell>
          <cell r="C322">
            <v>3458</v>
          </cell>
          <cell r="E322" t="str">
            <v>WIRE BRUSH FOR ANGLE GRINDER</v>
          </cell>
          <cell r="F322">
            <v>45553</v>
          </cell>
          <cell r="G322" t="str">
            <v>EA</v>
          </cell>
          <cell r="H322">
            <v>1.35</v>
          </cell>
        </row>
        <row r="323">
          <cell r="B323">
            <v>130600062</v>
          </cell>
          <cell r="C323">
            <v>3458</v>
          </cell>
          <cell r="E323" t="str">
            <v>Ruler!300mm</v>
          </cell>
          <cell r="F323">
            <v>45899</v>
          </cell>
          <cell r="G323" t="str">
            <v>EA</v>
          </cell>
          <cell r="H323">
            <v>1.31</v>
          </cell>
        </row>
        <row r="324">
          <cell r="B324">
            <v>131100557</v>
          </cell>
          <cell r="C324">
            <v>3458</v>
          </cell>
          <cell r="E324" t="str">
            <v>木柄钢丝刷!290mm 6排</v>
          </cell>
          <cell r="F324">
            <v>45899</v>
          </cell>
          <cell r="G324" t="str">
            <v>EA</v>
          </cell>
          <cell r="H324">
            <v>1.29</v>
          </cell>
        </row>
        <row r="325">
          <cell r="B325">
            <v>40154808</v>
          </cell>
          <cell r="C325" t="str">
            <v>TDUP</v>
          </cell>
          <cell r="E325" t="str">
            <v>MOPHEAD</v>
          </cell>
          <cell r="F325">
            <v>45930</v>
          </cell>
          <cell r="G325" t="str">
            <v>EA</v>
          </cell>
          <cell r="H325">
            <v>1.28</v>
          </cell>
        </row>
        <row r="326">
          <cell r="B326">
            <v>140200121</v>
          </cell>
          <cell r="C326">
            <v>3458</v>
          </cell>
          <cell r="E326" t="str">
            <v>PTFE flange!DN125</v>
          </cell>
          <cell r="F326">
            <v>45899</v>
          </cell>
          <cell r="G326" t="str">
            <v>EA</v>
          </cell>
          <cell r="H326">
            <v>1.03</v>
          </cell>
        </row>
        <row r="327">
          <cell r="B327">
            <v>40760884</v>
          </cell>
          <cell r="C327">
            <v>3458</v>
          </cell>
          <cell r="E327" t="str">
            <v>GASKET,SS WOUND,PN40 DN20 JB/T81-2015</v>
          </cell>
          <cell r="F327">
            <v>45820</v>
          </cell>
          <cell r="G327" t="str">
            <v>EA</v>
          </cell>
          <cell r="H327">
            <v>0.91</v>
          </cell>
        </row>
        <row r="328">
          <cell r="B328">
            <v>131100490</v>
          </cell>
          <cell r="C328">
            <v>3458</v>
          </cell>
          <cell r="E328" t="str">
            <v>Paint Brush! Paint Brush! 5 Inch</v>
          </cell>
          <cell r="F328">
            <v>45899</v>
          </cell>
          <cell r="G328" t="str">
            <v>EA</v>
          </cell>
          <cell r="H328">
            <v>0.86</v>
          </cell>
        </row>
        <row r="329">
          <cell r="B329">
            <v>40084864</v>
          </cell>
          <cell r="C329">
            <v>3458</v>
          </cell>
          <cell r="E329" t="str">
            <v>BOLT, HEX HEAD, M12 X 1.75 X 150MM,</v>
          </cell>
          <cell r="F329">
            <v>45819</v>
          </cell>
          <cell r="G329" t="str">
            <v>EA</v>
          </cell>
          <cell r="H329">
            <v>0.85</v>
          </cell>
        </row>
        <row r="330">
          <cell r="B330">
            <v>40721993</v>
          </cell>
          <cell r="C330">
            <v>3458</v>
          </cell>
          <cell r="E330" t="str">
            <v>PIPE 6 X 1- 800 XZA220.42 PHI - 79 PA11</v>
          </cell>
          <cell r="F330">
            <v>45553</v>
          </cell>
          <cell r="G330" t="str">
            <v>EA</v>
          </cell>
          <cell r="H330">
            <v>0.85</v>
          </cell>
        </row>
        <row r="331">
          <cell r="B331">
            <v>140200449</v>
          </cell>
          <cell r="C331">
            <v>3458</v>
          </cell>
          <cell r="E331" t="str">
            <v>PTFE flange gasket, DN100-PN1.0MPa, δ=5</v>
          </cell>
          <cell r="F331">
            <v>45899</v>
          </cell>
          <cell r="G331" t="str">
            <v>EA</v>
          </cell>
          <cell r="H331">
            <v>0.78</v>
          </cell>
        </row>
        <row r="332">
          <cell r="B332">
            <v>160503137</v>
          </cell>
          <cell r="C332">
            <v>3458</v>
          </cell>
          <cell r="E332" t="str">
            <v>Pipe clamp!72-95MM!304</v>
          </cell>
          <cell r="F332">
            <v>45900</v>
          </cell>
          <cell r="G332" t="str">
            <v>EA</v>
          </cell>
          <cell r="H332">
            <v>0.75</v>
          </cell>
        </row>
        <row r="333">
          <cell r="B333">
            <v>131100558</v>
          </cell>
          <cell r="C333">
            <v>3458</v>
          </cell>
          <cell r="E333" t="str">
            <v>Roller Brush!HHT-RB04R!4inch</v>
          </cell>
          <cell r="F333">
            <v>45899</v>
          </cell>
          <cell r="G333" t="str">
            <v>EA</v>
          </cell>
          <cell r="H333">
            <v>0.72</v>
          </cell>
        </row>
        <row r="334">
          <cell r="B334">
            <v>131100558</v>
          </cell>
          <cell r="C334">
            <v>3458</v>
          </cell>
          <cell r="E334" t="str">
            <v>Roller Brush!HHT-RB04R!4inch</v>
          </cell>
          <cell r="F334">
            <v>45899</v>
          </cell>
          <cell r="G334" t="str">
            <v>EA</v>
          </cell>
          <cell r="H334">
            <v>0.72</v>
          </cell>
        </row>
        <row r="335">
          <cell r="B335">
            <v>131100277</v>
          </cell>
          <cell r="C335">
            <v>3458</v>
          </cell>
          <cell r="E335" t="str">
            <v>Paintbrush! 3 inch</v>
          </cell>
          <cell r="F335">
            <v>46010</v>
          </cell>
          <cell r="G335" t="str">
            <v>EA</v>
          </cell>
          <cell r="H335">
            <v>0.59</v>
          </cell>
        </row>
        <row r="336">
          <cell r="B336">
            <v>170100012</v>
          </cell>
          <cell r="C336">
            <v>3458</v>
          </cell>
          <cell r="E336" t="str">
            <v>PTFE Thread Seal Tape! 1 cm × 20 m</v>
          </cell>
          <cell r="F336">
            <v>45900</v>
          </cell>
          <cell r="G336" t="str">
            <v>EA</v>
          </cell>
          <cell r="H336">
            <v>0.57999999999999996</v>
          </cell>
        </row>
        <row r="337">
          <cell r="B337">
            <v>130900517</v>
          </cell>
          <cell r="C337">
            <v>3458</v>
          </cell>
          <cell r="E337" t="str">
            <v>Metal Cutting Discs!180×2.5×22 mm</v>
          </cell>
          <cell r="F337">
            <v>45899</v>
          </cell>
          <cell r="G337" t="str">
            <v>EA</v>
          </cell>
          <cell r="H337">
            <v>0.56000000000000005</v>
          </cell>
        </row>
        <row r="338">
          <cell r="B338">
            <v>140200447</v>
          </cell>
          <cell r="C338">
            <v>3458</v>
          </cell>
          <cell r="E338" t="str">
            <v>PTFE flange gasket, DN65-PN1.0MPa, Δ=5</v>
          </cell>
          <cell r="F338">
            <v>45899</v>
          </cell>
          <cell r="G338" t="str">
            <v>EA</v>
          </cell>
          <cell r="H338">
            <v>0.55000000000000004</v>
          </cell>
        </row>
        <row r="339">
          <cell r="B339">
            <v>131100559</v>
          </cell>
          <cell r="C339">
            <v>3458</v>
          </cell>
          <cell r="E339" t="str">
            <v>Paint Brush!2.5inch</v>
          </cell>
          <cell r="F339">
            <v>45899</v>
          </cell>
          <cell r="G339" t="str">
            <v>EA</v>
          </cell>
          <cell r="H339">
            <v>0.47</v>
          </cell>
        </row>
        <row r="340">
          <cell r="B340">
            <v>140200446</v>
          </cell>
          <cell r="C340">
            <v>3458</v>
          </cell>
          <cell r="E340" t="str">
            <v>PTFE flange gasket, DN50-PN1.0MPa, Δ=5</v>
          </cell>
          <cell r="F340">
            <v>45899</v>
          </cell>
          <cell r="G340" t="str">
            <v>EA</v>
          </cell>
          <cell r="H340">
            <v>0.47</v>
          </cell>
        </row>
        <row r="341">
          <cell r="B341">
            <v>140200444</v>
          </cell>
          <cell r="C341">
            <v>3458</v>
          </cell>
          <cell r="E341" t="str">
            <v>PTFE flange gasket, DN25-PN1.0MPa, Δ=5</v>
          </cell>
          <cell r="F341">
            <v>45899</v>
          </cell>
          <cell r="G341" t="str">
            <v>EA</v>
          </cell>
          <cell r="H341">
            <v>0.28999999999999998</v>
          </cell>
        </row>
        <row r="342">
          <cell r="B342">
            <v>40703649</v>
          </cell>
          <cell r="C342" t="str">
            <v>TSAF</v>
          </cell>
          <cell r="E342" t="str">
            <v>WIRE BRUSH FOR ANGLE GRINDER</v>
          </cell>
          <cell r="F342">
            <v>45553</v>
          </cell>
          <cell r="G342" t="str">
            <v>EA</v>
          </cell>
          <cell r="H342">
            <v>0.22</v>
          </cell>
        </row>
        <row r="343">
          <cell r="B343">
            <v>131300545</v>
          </cell>
          <cell r="C343">
            <v>3458</v>
          </cell>
          <cell r="E343" t="str">
            <v>Nylon grinding head!25×25×6mm</v>
          </cell>
          <cell r="F343">
            <v>45899</v>
          </cell>
          <cell r="G343" t="str">
            <v>EA</v>
          </cell>
          <cell r="H343">
            <v>0.15</v>
          </cell>
        </row>
        <row r="344">
          <cell r="B344">
            <v>130401222</v>
          </cell>
          <cell r="C344">
            <v>3458</v>
          </cell>
          <cell r="E344" t="str">
            <v>其他!不锈钢切割片!107×1.2×16MM</v>
          </cell>
          <cell r="F344">
            <v>45899</v>
          </cell>
          <cell r="G344" t="str">
            <v>EA</v>
          </cell>
          <cell r="H344">
            <v>0.13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P781"/>
  <sheetViews>
    <sheetView topLeftCell="A265" zoomScale="98" workbookViewId="0">
      <selection sqref="A1:A1048576"/>
    </sheetView>
  </sheetViews>
  <sheetFormatPr defaultColWidth="10" defaultRowHeight="12.75"/>
  <cols>
    <col min="1" max="1" width="4.5703125" style="1" customWidth="1"/>
    <col min="2" max="2" width="15.7109375" style="2" customWidth="1"/>
    <col min="3" max="3" width="29" style="2" customWidth="1"/>
    <col min="4" max="4" width="46.140625" customWidth="1"/>
    <col min="5" max="5" width="25.5703125" style="3" customWidth="1"/>
    <col min="6" max="7" width="17.85546875" style="2" customWidth="1"/>
    <col min="8" max="8" width="7.7109375" style="2" customWidth="1"/>
    <col min="9" max="9" width="6.28515625" style="2" customWidth="1"/>
    <col min="10" max="10" width="13.85546875" style="2" customWidth="1"/>
    <col min="11" max="11" width="10" bestFit="1" customWidth="1"/>
    <col min="16" max="16" width="10" bestFit="1" customWidth="1"/>
    <col min="17" max="17" width="39.42578125" bestFit="1" customWidth="1"/>
    <col min="18" max="18" width="44.42578125" customWidth="1"/>
    <col min="19" max="19" width="10" bestFit="1" customWidth="1"/>
  </cols>
  <sheetData>
    <row r="1" spans="1:198" s="2" customFormat="1" ht="38.25">
      <c r="A1" s="4"/>
      <c r="B1" s="5" t="s">
        <v>0</v>
      </c>
      <c r="C1" s="6" t="s">
        <v>1</v>
      </c>
      <c r="D1" s="7" t="s">
        <v>2</v>
      </c>
      <c r="E1" s="8" t="s">
        <v>3</v>
      </c>
      <c r="F1" s="6" t="s">
        <v>4</v>
      </c>
      <c r="G1" s="9" t="s">
        <v>5</v>
      </c>
      <c r="H1" s="7" t="s">
        <v>6</v>
      </c>
      <c r="I1" s="7" t="s">
        <v>7</v>
      </c>
      <c r="J1" s="10" t="s">
        <v>8</v>
      </c>
      <c r="K1" s="11" t="s">
        <v>9</v>
      </c>
    </row>
    <row r="2" spans="1:198">
      <c r="A2" s="1">
        <f t="shared" ref="A2:A65" si="0">ROW()-1</f>
        <v>1</v>
      </c>
      <c r="B2" s="12">
        <v>40722580</v>
      </c>
      <c r="C2" s="4" t="s">
        <v>10</v>
      </c>
      <c r="D2" s="13" t="s">
        <v>11</v>
      </c>
      <c r="E2" s="14" t="s">
        <v>12</v>
      </c>
      <c r="F2" s="4" t="s">
        <v>13</v>
      </c>
      <c r="G2" s="15">
        <v>3962</v>
      </c>
      <c r="H2" s="4">
        <v>2</v>
      </c>
      <c r="I2" s="4" t="s">
        <v>14</v>
      </c>
      <c r="J2" s="15">
        <v>7924</v>
      </c>
      <c r="K2" s="13">
        <v>2</v>
      </c>
    </row>
    <row r="3" spans="1:198">
      <c r="A3" s="1">
        <f t="shared" si="0"/>
        <v>2</v>
      </c>
      <c r="B3" s="12">
        <v>40694924</v>
      </c>
      <c r="C3" s="4" t="s">
        <v>15</v>
      </c>
      <c r="D3" s="13" t="s">
        <v>16</v>
      </c>
      <c r="E3" s="14" t="s">
        <v>17</v>
      </c>
      <c r="F3" s="4" t="s">
        <v>13</v>
      </c>
      <c r="G3" s="15">
        <v>714.31</v>
      </c>
      <c r="H3" s="4">
        <v>2</v>
      </c>
      <c r="I3" s="4" t="s">
        <v>14</v>
      </c>
      <c r="J3" s="15">
        <v>1428.62</v>
      </c>
      <c r="K3" s="13">
        <v>2</v>
      </c>
    </row>
    <row r="4" spans="1:198">
      <c r="A4" s="1">
        <f t="shared" si="0"/>
        <v>3</v>
      </c>
      <c r="B4" s="12">
        <v>40694936</v>
      </c>
      <c r="C4" s="4" t="s">
        <v>18</v>
      </c>
      <c r="D4" s="13" t="s">
        <v>19</v>
      </c>
      <c r="E4" s="14" t="s">
        <v>20</v>
      </c>
      <c r="F4" s="4" t="s">
        <v>13</v>
      </c>
      <c r="G4" s="15">
        <v>2088.63</v>
      </c>
      <c r="H4" s="4">
        <v>6</v>
      </c>
      <c r="I4" s="4" t="s">
        <v>14</v>
      </c>
      <c r="J4" s="15">
        <v>12531.78</v>
      </c>
      <c r="K4" s="13">
        <v>6</v>
      </c>
    </row>
    <row r="5" spans="1:198">
      <c r="A5" s="1">
        <f t="shared" si="0"/>
        <v>4</v>
      </c>
      <c r="B5" s="12">
        <v>40694938</v>
      </c>
      <c r="C5" s="4" t="s">
        <v>21</v>
      </c>
      <c r="D5" s="13" t="s">
        <v>22</v>
      </c>
      <c r="E5" s="14" t="s">
        <v>20</v>
      </c>
      <c r="F5" s="4" t="s">
        <v>13</v>
      </c>
      <c r="G5" s="15">
        <v>1148.2</v>
      </c>
      <c r="H5" s="4">
        <v>6</v>
      </c>
      <c r="I5" s="4" t="s">
        <v>14</v>
      </c>
      <c r="J5" s="15">
        <v>6889.2</v>
      </c>
      <c r="K5" s="13">
        <v>6</v>
      </c>
    </row>
    <row r="6" spans="1:198" s="16" customFormat="1">
      <c r="A6" s="1">
        <f t="shared" si="0"/>
        <v>5</v>
      </c>
      <c r="B6" s="12">
        <v>40694939</v>
      </c>
      <c r="C6" s="4" t="s">
        <v>15</v>
      </c>
      <c r="D6" s="13" t="s">
        <v>23</v>
      </c>
      <c r="E6" s="14" t="s">
        <v>20</v>
      </c>
      <c r="F6" s="4" t="s">
        <v>13</v>
      </c>
      <c r="G6" s="15">
        <v>147.88999999999999</v>
      </c>
      <c r="H6" s="4">
        <v>8</v>
      </c>
      <c r="I6" s="4" t="s">
        <v>14</v>
      </c>
      <c r="J6" s="15">
        <v>1183.1199999999999</v>
      </c>
      <c r="K6" s="13">
        <v>8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</row>
    <row r="7" spans="1:198">
      <c r="A7" s="1">
        <f t="shared" si="0"/>
        <v>6</v>
      </c>
      <c r="B7" s="12">
        <v>40694945</v>
      </c>
      <c r="C7" s="4" t="s">
        <v>24</v>
      </c>
      <c r="D7" s="13" t="s">
        <v>25</v>
      </c>
      <c r="E7" s="14" t="s">
        <v>20</v>
      </c>
      <c r="F7" s="4" t="s">
        <v>13</v>
      </c>
      <c r="G7" s="15">
        <v>641.55999999999995</v>
      </c>
      <c r="H7" s="4">
        <v>3</v>
      </c>
      <c r="I7" s="4" t="s">
        <v>14</v>
      </c>
      <c r="J7" s="15">
        <v>1924.68</v>
      </c>
      <c r="K7" s="13">
        <v>3</v>
      </c>
    </row>
    <row r="8" spans="1:198">
      <c r="A8" s="1">
        <f t="shared" si="0"/>
        <v>7</v>
      </c>
      <c r="B8" s="12">
        <v>40693977</v>
      </c>
      <c r="C8" s="4" t="s">
        <v>26</v>
      </c>
      <c r="D8" s="13" t="s">
        <v>27</v>
      </c>
      <c r="E8" s="14" t="s">
        <v>28</v>
      </c>
      <c r="F8" s="4" t="s">
        <v>13</v>
      </c>
      <c r="G8" s="15">
        <v>1378.67</v>
      </c>
      <c r="H8" s="4">
        <v>7</v>
      </c>
      <c r="I8" s="4" t="s">
        <v>14</v>
      </c>
      <c r="J8" s="15">
        <v>11029.36</v>
      </c>
      <c r="K8" s="13">
        <v>7</v>
      </c>
    </row>
    <row r="9" spans="1:198">
      <c r="A9" s="1">
        <f t="shared" si="0"/>
        <v>8</v>
      </c>
      <c r="B9" s="12">
        <v>40691018</v>
      </c>
      <c r="C9" s="4" t="s">
        <v>29</v>
      </c>
      <c r="D9" s="13" t="s">
        <v>30</v>
      </c>
      <c r="E9" s="14">
        <v>7088010082</v>
      </c>
      <c r="F9" s="4" t="s">
        <v>13</v>
      </c>
      <c r="G9" s="15">
        <v>3773.34</v>
      </c>
      <c r="H9" s="17">
        <v>16</v>
      </c>
      <c r="I9" s="4" t="s">
        <v>14</v>
      </c>
      <c r="J9" s="15">
        <v>60373.440000000002</v>
      </c>
      <c r="K9" s="13">
        <v>16</v>
      </c>
    </row>
    <row r="10" spans="1:198">
      <c r="A10" s="1">
        <f t="shared" si="0"/>
        <v>9</v>
      </c>
      <c r="B10" s="12">
        <v>40691025</v>
      </c>
      <c r="C10" s="4" t="s">
        <v>31</v>
      </c>
      <c r="D10" s="13" t="s">
        <v>32</v>
      </c>
      <c r="E10" s="14">
        <v>7022072500</v>
      </c>
      <c r="F10" s="4" t="s">
        <v>13</v>
      </c>
      <c r="G10" s="15">
        <v>1589.07</v>
      </c>
      <c r="H10" s="17">
        <v>4</v>
      </c>
      <c r="I10" s="4" t="s">
        <v>14</v>
      </c>
      <c r="J10" s="15">
        <v>6356.28</v>
      </c>
      <c r="K10" s="13">
        <v>4</v>
      </c>
    </row>
    <row r="11" spans="1:198">
      <c r="A11" s="1">
        <f t="shared" si="0"/>
        <v>10</v>
      </c>
      <c r="B11" s="12">
        <v>40697156</v>
      </c>
      <c r="C11" s="4" t="s">
        <v>33</v>
      </c>
      <c r="D11" s="13" t="s">
        <v>34</v>
      </c>
      <c r="E11" s="14" t="s">
        <v>35</v>
      </c>
      <c r="F11" s="4" t="s">
        <v>13</v>
      </c>
      <c r="G11" s="15">
        <v>66.930000000000007</v>
      </c>
      <c r="H11" s="4">
        <v>32</v>
      </c>
      <c r="I11" s="4" t="s">
        <v>14</v>
      </c>
      <c r="J11" s="15">
        <v>2141.7600000000002</v>
      </c>
      <c r="K11" s="13">
        <v>32</v>
      </c>
    </row>
    <row r="12" spans="1:198">
      <c r="A12" s="1">
        <f t="shared" si="0"/>
        <v>11</v>
      </c>
      <c r="B12" s="12">
        <v>40660983</v>
      </c>
      <c r="C12" s="4" t="s">
        <v>36</v>
      </c>
      <c r="D12" s="13" t="s">
        <v>37</v>
      </c>
      <c r="E12" s="14" t="s">
        <v>38</v>
      </c>
      <c r="F12" s="4" t="s">
        <v>13</v>
      </c>
      <c r="G12" s="15">
        <v>605.37</v>
      </c>
      <c r="H12" s="4">
        <v>1</v>
      </c>
      <c r="I12" s="4" t="s">
        <v>14</v>
      </c>
      <c r="J12" s="15">
        <v>605.37</v>
      </c>
      <c r="K12" s="13">
        <v>1</v>
      </c>
    </row>
    <row r="13" spans="1:198">
      <c r="A13" s="1">
        <f t="shared" si="0"/>
        <v>12</v>
      </c>
      <c r="B13" s="12">
        <v>40635381</v>
      </c>
      <c r="C13" s="4" t="s">
        <v>39</v>
      </c>
      <c r="D13" s="13" t="s">
        <v>40</v>
      </c>
      <c r="E13" s="14" t="s">
        <v>41</v>
      </c>
      <c r="F13" s="4" t="s">
        <v>13</v>
      </c>
      <c r="G13" s="15">
        <v>582.62</v>
      </c>
      <c r="H13" s="4">
        <v>2</v>
      </c>
      <c r="I13" s="4" t="s">
        <v>14</v>
      </c>
      <c r="J13" s="15">
        <v>1165.24</v>
      </c>
      <c r="K13" s="13">
        <v>2</v>
      </c>
    </row>
    <row r="14" spans="1:198">
      <c r="A14" s="1">
        <f t="shared" si="0"/>
        <v>13</v>
      </c>
      <c r="B14" s="12">
        <v>40704243</v>
      </c>
      <c r="C14" s="4" t="s">
        <v>42</v>
      </c>
      <c r="D14" s="13" t="s">
        <v>43</v>
      </c>
      <c r="E14" s="14">
        <v>0</v>
      </c>
      <c r="F14" s="4" t="s">
        <v>13</v>
      </c>
      <c r="G14" s="15">
        <v>1012.94</v>
      </c>
      <c r="H14" s="4">
        <v>3</v>
      </c>
      <c r="I14" s="4" t="s">
        <v>14</v>
      </c>
      <c r="J14" s="15">
        <v>3038.82</v>
      </c>
      <c r="K14" s="13">
        <v>3</v>
      </c>
    </row>
    <row r="15" spans="1:198">
      <c r="A15" s="1">
        <f t="shared" si="0"/>
        <v>14</v>
      </c>
      <c r="B15" s="12">
        <v>40704249</v>
      </c>
      <c r="C15" s="4" t="s">
        <v>44</v>
      </c>
      <c r="D15" s="13" t="s">
        <v>45</v>
      </c>
      <c r="E15" s="14" t="s">
        <v>46</v>
      </c>
      <c r="F15" s="4" t="s">
        <v>13</v>
      </c>
      <c r="G15" s="15">
        <v>965.06</v>
      </c>
      <c r="H15" s="4">
        <v>1</v>
      </c>
      <c r="I15" s="4" t="s">
        <v>14</v>
      </c>
      <c r="J15" s="15">
        <v>965.06</v>
      </c>
      <c r="K15" s="13">
        <v>1</v>
      </c>
    </row>
    <row r="16" spans="1:198">
      <c r="A16" s="1">
        <f t="shared" si="0"/>
        <v>15</v>
      </c>
      <c r="B16" s="12">
        <v>40637452</v>
      </c>
      <c r="C16" s="4" t="s">
        <v>47</v>
      </c>
      <c r="D16" s="13" t="s">
        <v>48</v>
      </c>
      <c r="E16" s="14" t="s">
        <v>49</v>
      </c>
      <c r="F16" s="4" t="s">
        <v>13</v>
      </c>
      <c r="G16" s="15">
        <v>612.41999999999996</v>
      </c>
      <c r="H16" s="4">
        <v>3</v>
      </c>
      <c r="I16" s="4" t="s">
        <v>14</v>
      </c>
      <c r="J16" s="15">
        <v>1837.26</v>
      </c>
      <c r="K16" s="13">
        <v>3</v>
      </c>
    </row>
    <row r="17" spans="1:11">
      <c r="A17" s="1">
        <f t="shared" si="0"/>
        <v>16</v>
      </c>
      <c r="B17" s="12">
        <v>40637443</v>
      </c>
      <c r="C17" s="4" t="s">
        <v>50</v>
      </c>
      <c r="D17" s="13" t="s">
        <v>51</v>
      </c>
      <c r="E17" s="14" t="s">
        <v>52</v>
      </c>
      <c r="F17" s="4" t="s">
        <v>13</v>
      </c>
      <c r="G17" s="15">
        <v>18167.18</v>
      </c>
      <c r="H17" s="4">
        <v>1</v>
      </c>
      <c r="I17" s="4" t="s">
        <v>14</v>
      </c>
      <c r="J17" s="15">
        <v>18167.18</v>
      </c>
      <c r="K17" s="13">
        <v>1</v>
      </c>
    </row>
    <row r="18" spans="1:11">
      <c r="A18" s="1">
        <f t="shared" si="0"/>
        <v>17</v>
      </c>
      <c r="B18" s="12">
        <v>40637444</v>
      </c>
      <c r="C18" s="4" t="s">
        <v>53</v>
      </c>
      <c r="D18" s="13" t="s">
        <v>54</v>
      </c>
      <c r="E18" s="14" t="s">
        <v>55</v>
      </c>
      <c r="F18" s="4" t="s">
        <v>13</v>
      </c>
      <c r="G18" s="15">
        <v>18676.72</v>
      </c>
      <c r="H18" s="4">
        <v>1</v>
      </c>
      <c r="I18" s="4" t="s">
        <v>14</v>
      </c>
      <c r="J18" s="15">
        <v>18676.72</v>
      </c>
      <c r="K18" s="13">
        <v>1</v>
      </c>
    </row>
    <row r="19" spans="1:11">
      <c r="A19" s="1">
        <f t="shared" si="0"/>
        <v>18</v>
      </c>
      <c r="B19" s="12">
        <v>40637449</v>
      </c>
      <c r="C19" s="4" t="s">
        <v>56</v>
      </c>
      <c r="D19" s="13" t="s">
        <v>57</v>
      </c>
      <c r="E19" s="14" t="s">
        <v>58</v>
      </c>
      <c r="F19" s="4" t="s">
        <v>13</v>
      </c>
      <c r="G19" s="15">
        <v>8556.5499999999993</v>
      </c>
      <c r="H19" s="4">
        <v>2</v>
      </c>
      <c r="I19" s="4" t="s">
        <v>59</v>
      </c>
      <c r="J19" s="15">
        <v>17113.099999999999</v>
      </c>
      <c r="K19" s="13">
        <v>2</v>
      </c>
    </row>
    <row r="20" spans="1:11">
      <c r="A20" s="1">
        <f t="shared" si="0"/>
        <v>19</v>
      </c>
      <c r="B20" s="12">
        <v>160103192</v>
      </c>
      <c r="C20" s="4"/>
      <c r="D20" s="13" t="s">
        <v>60</v>
      </c>
      <c r="E20" s="14"/>
      <c r="F20" s="4" t="s">
        <v>13</v>
      </c>
      <c r="G20" s="15">
        <v>1.58</v>
      </c>
      <c r="H20" s="4">
        <v>50</v>
      </c>
      <c r="I20" s="4" t="s">
        <v>14</v>
      </c>
      <c r="J20" s="15">
        <v>79</v>
      </c>
      <c r="K20" s="13"/>
    </row>
    <row r="21" spans="1:11">
      <c r="A21" s="1">
        <f t="shared" si="0"/>
        <v>20</v>
      </c>
      <c r="B21" s="12">
        <v>40750923</v>
      </c>
      <c r="C21" s="4" t="s">
        <v>44</v>
      </c>
      <c r="D21" s="13" t="s">
        <v>61</v>
      </c>
      <c r="E21" s="14" t="s">
        <v>62</v>
      </c>
      <c r="F21" s="4" t="s">
        <v>13</v>
      </c>
      <c r="G21" s="15">
        <v>768.09</v>
      </c>
      <c r="H21" s="4">
        <v>1</v>
      </c>
      <c r="I21" s="4" t="s">
        <v>14</v>
      </c>
      <c r="J21" s="15">
        <v>768.09</v>
      </c>
      <c r="K21" s="13">
        <v>1</v>
      </c>
    </row>
    <row r="22" spans="1:11">
      <c r="A22" s="1">
        <f t="shared" si="0"/>
        <v>21</v>
      </c>
      <c r="B22" s="12">
        <v>40750919</v>
      </c>
      <c r="C22" s="4" t="s">
        <v>44</v>
      </c>
      <c r="D22" s="13" t="s">
        <v>61</v>
      </c>
      <c r="E22" s="14" t="s">
        <v>63</v>
      </c>
      <c r="F22" s="4" t="s">
        <v>13</v>
      </c>
      <c r="G22" s="15">
        <v>675.72</v>
      </c>
      <c r="H22" s="4">
        <v>1</v>
      </c>
      <c r="I22" s="4" t="s">
        <v>59</v>
      </c>
      <c r="J22" s="15">
        <v>675.72</v>
      </c>
      <c r="K22" s="13"/>
    </row>
    <row r="23" spans="1:11">
      <c r="A23" s="1">
        <f t="shared" si="0"/>
        <v>22</v>
      </c>
      <c r="B23" s="12">
        <v>40750920</v>
      </c>
      <c r="C23" s="4" t="s">
        <v>44</v>
      </c>
      <c r="D23" s="13" t="s">
        <v>61</v>
      </c>
      <c r="E23" s="14" t="s">
        <v>64</v>
      </c>
      <c r="F23" s="4" t="s">
        <v>13</v>
      </c>
      <c r="G23" s="15">
        <v>2168.42</v>
      </c>
      <c r="H23" s="4">
        <v>1</v>
      </c>
      <c r="I23" s="4" t="s">
        <v>14</v>
      </c>
      <c r="J23" s="15">
        <v>2168.42</v>
      </c>
      <c r="K23" s="13">
        <v>1</v>
      </c>
    </row>
    <row r="24" spans="1:11">
      <c r="A24" s="1">
        <f t="shared" si="0"/>
        <v>23</v>
      </c>
      <c r="B24" s="12">
        <v>40691831</v>
      </c>
      <c r="C24" s="4" t="s">
        <v>65</v>
      </c>
      <c r="D24" s="13" t="s">
        <v>66</v>
      </c>
      <c r="E24" s="14" t="s">
        <v>67</v>
      </c>
      <c r="F24" s="4" t="s">
        <v>13</v>
      </c>
      <c r="G24" s="15">
        <v>35363.599999999999</v>
      </c>
      <c r="H24" s="4">
        <v>1</v>
      </c>
      <c r="I24" s="4" t="s">
        <v>14</v>
      </c>
      <c r="J24" s="15">
        <v>35363.599999999999</v>
      </c>
      <c r="K24" s="13">
        <v>1</v>
      </c>
    </row>
    <row r="25" spans="1:11">
      <c r="A25" s="1">
        <f t="shared" si="0"/>
        <v>24</v>
      </c>
      <c r="B25" s="12">
        <v>40691832</v>
      </c>
      <c r="C25" s="4" t="s">
        <v>68</v>
      </c>
      <c r="D25" s="13" t="s">
        <v>66</v>
      </c>
      <c r="E25" s="14" t="s">
        <v>67</v>
      </c>
      <c r="F25" s="4" t="s">
        <v>13</v>
      </c>
      <c r="G25" s="15">
        <v>41304.61</v>
      </c>
      <c r="H25" s="4">
        <v>2</v>
      </c>
      <c r="I25" s="4" t="s">
        <v>14</v>
      </c>
      <c r="J25" s="15">
        <v>82609.22</v>
      </c>
      <c r="K25" s="13">
        <v>2</v>
      </c>
    </row>
    <row r="26" spans="1:11">
      <c r="A26" s="1">
        <f t="shared" si="0"/>
        <v>25</v>
      </c>
      <c r="B26" s="12">
        <v>40691833</v>
      </c>
      <c r="C26" s="4" t="s">
        <v>69</v>
      </c>
      <c r="D26" s="13" t="s">
        <v>66</v>
      </c>
      <c r="E26" s="14" t="s">
        <v>67</v>
      </c>
      <c r="F26" s="4" t="s">
        <v>13</v>
      </c>
      <c r="G26" s="15">
        <v>47528.02</v>
      </c>
      <c r="H26" s="4">
        <v>1</v>
      </c>
      <c r="I26" s="4" t="s">
        <v>14</v>
      </c>
      <c r="J26" s="15">
        <v>47528.02</v>
      </c>
      <c r="K26" s="13">
        <v>1</v>
      </c>
    </row>
    <row r="27" spans="1:11">
      <c r="A27" s="1">
        <f t="shared" si="0"/>
        <v>26</v>
      </c>
      <c r="B27" s="12">
        <v>40697689</v>
      </c>
      <c r="C27" s="4" t="s">
        <v>70</v>
      </c>
      <c r="D27" s="13" t="s">
        <v>71</v>
      </c>
      <c r="E27" s="14" t="s">
        <v>72</v>
      </c>
      <c r="F27" s="4" t="s">
        <v>13</v>
      </c>
      <c r="G27" s="15">
        <v>73.92</v>
      </c>
      <c r="H27" s="4">
        <v>50</v>
      </c>
      <c r="I27" s="4" t="s">
        <v>14</v>
      </c>
      <c r="J27" s="15">
        <v>3696</v>
      </c>
      <c r="K27" s="13"/>
    </row>
    <row r="28" spans="1:11">
      <c r="A28" s="1">
        <f t="shared" si="0"/>
        <v>27</v>
      </c>
      <c r="B28" s="12">
        <v>40697691</v>
      </c>
      <c r="C28" s="4" t="s">
        <v>73</v>
      </c>
      <c r="D28" s="13" t="s">
        <v>74</v>
      </c>
      <c r="E28" s="14" t="s">
        <v>75</v>
      </c>
      <c r="F28" s="4" t="s">
        <v>13</v>
      </c>
      <c r="G28" s="15">
        <v>39.01</v>
      </c>
      <c r="H28" s="4">
        <v>900</v>
      </c>
      <c r="I28" s="4" t="s">
        <v>14</v>
      </c>
      <c r="J28" s="15">
        <v>35109</v>
      </c>
      <c r="K28" s="13">
        <v>900</v>
      </c>
    </row>
    <row r="29" spans="1:11">
      <c r="A29" s="1">
        <f t="shared" si="0"/>
        <v>28</v>
      </c>
      <c r="B29" s="12">
        <v>40725144</v>
      </c>
      <c r="C29" s="4" t="s">
        <v>76</v>
      </c>
      <c r="D29" s="13" t="s">
        <v>77</v>
      </c>
      <c r="E29" s="14" t="s">
        <v>78</v>
      </c>
      <c r="F29" s="4" t="s">
        <v>13</v>
      </c>
      <c r="G29" s="15">
        <v>2.2000000000000002</v>
      </c>
      <c r="H29" s="4">
        <v>21</v>
      </c>
      <c r="I29" s="4" t="s">
        <v>14</v>
      </c>
      <c r="J29" s="15">
        <v>61.6</v>
      </c>
      <c r="K29" s="13">
        <v>8</v>
      </c>
    </row>
    <row r="30" spans="1:11">
      <c r="A30" s="1">
        <f t="shared" si="0"/>
        <v>29</v>
      </c>
      <c r="B30" s="12">
        <v>40760826</v>
      </c>
      <c r="C30" s="4" t="s">
        <v>79</v>
      </c>
      <c r="D30" s="13" t="s">
        <v>80</v>
      </c>
      <c r="E30" s="14" t="s">
        <v>81</v>
      </c>
      <c r="F30" s="4" t="s">
        <v>13</v>
      </c>
      <c r="G30" s="15">
        <v>815.91</v>
      </c>
      <c r="H30" s="4">
        <v>1</v>
      </c>
      <c r="I30" s="4" t="s">
        <v>14</v>
      </c>
      <c r="J30" s="15">
        <v>815.91</v>
      </c>
      <c r="K30" s="13">
        <v>1</v>
      </c>
    </row>
    <row r="31" spans="1:11">
      <c r="A31" s="1">
        <f t="shared" si="0"/>
        <v>30</v>
      </c>
      <c r="B31" s="12">
        <v>40698578</v>
      </c>
      <c r="C31" s="4" t="s">
        <v>82</v>
      </c>
      <c r="D31" s="13" t="s">
        <v>83</v>
      </c>
      <c r="E31" s="14" t="s">
        <v>84</v>
      </c>
      <c r="F31" s="4" t="s">
        <v>13</v>
      </c>
      <c r="G31" s="15">
        <v>12259.52</v>
      </c>
      <c r="H31" s="4">
        <v>4</v>
      </c>
      <c r="I31" s="4" t="s">
        <v>14</v>
      </c>
      <c r="J31" s="15">
        <v>49038.080000000002</v>
      </c>
      <c r="K31" s="13">
        <v>4</v>
      </c>
    </row>
    <row r="32" spans="1:11">
      <c r="A32" s="1">
        <f t="shared" si="0"/>
        <v>31</v>
      </c>
      <c r="B32" s="12">
        <v>40660986</v>
      </c>
      <c r="C32" s="4"/>
      <c r="D32" s="13" t="s">
        <v>85</v>
      </c>
      <c r="E32" s="14"/>
      <c r="F32" s="4" t="s">
        <v>13</v>
      </c>
      <c r="G32" s="15">
        <v>242.04</v>
      </c>
      <c r="H32" s="4">
        <v>7</v>
      </c>
      <c r="I32" s="4" t="s">
        <v>14</v>
      </c>
      <c r="J32" s="15">
        <v>1694.28</v>
      </c>
      <c r="K32" s="13">
        <v>7</v>
      </c>
    </row>
    <row r="33" spans="1:11">
      <c r="A33" s="1">
        <f t="shared" si="0"/>
        <v>32</v>
      </c>
      <c r="B33" s="12">
        <v>40694223</v>
      </c>
      <c r="C33" s="4"/>
      <c r="D33" s="13" t="s">
        <v>86</v>
      </c>
      <c r="E33" s="14"/>
      <c r="F33" s="4" t="s">
        <v>13</v>
      </c>
      <c r="G33" s="15">
        <v>1630.19</v>
      </c>
      <c r="H33" s="4">
        <v>2</v>
      </c>
      <c r="I33" s="4" t="s">
        <v>14</v>
      </c>
      <c r="J33" s="15">
        <v>3260.38</v>
      </c>
      <c r="K33" s="13">
        <v>2</v>
      </c>
    </row>
    <row r="34" spans="1:11">
      <c r="A34" s="1">
        <f t="shared" si="0"/>
        <v>33</v>
      </c>
      <c r="B34" s="12">
        <v>40694944</v>
      </c>
      <c r="C34" s="4"/>
      <c r="D34" s="13" t="s">
        <v>87</v>
      </c>
      <c r="E34" s="14"/>
      <c r="F34" s="4" t="s">
        <v>13</v>
      </c>
      <c r="G34" s="15">
        <v>388.32</v>
      </c>
      <c r="H34" s="4">
        <v>2</v>
      </c>
      <c r="I34" s="4" t="s">
        <v>14</v>
      </c>
      <c r="J34" s="15">
        <v>776.64</v>
      </c>
      <c r="K34" s="13">
        <v>2</v>
      </c>
    </row>
    <row r="35" spans="1:11" ht="15">
      <c r="A35" s="1">
        <f t="shared" si="0"/>
        <v>34</v>
      </c>
      <c r="B35" s="12">
        <v>40669782</v>
      </c>
      <c r="C35" s="4"/>
      <c r="D35" s="18" t="s">
        <v>88</v>
      </c>
      <c r="E35" s="14"/>
      <c r="F35" s="4" t="s">
        <v>13</v>
      </c>
      <c r="G35" s="15">
        <v>44672.639999999999</v>
      </c>
      <c r="H35" s="4">
        <v>2</v>
      </c>
      <c r="I35" s="4" t="s">
        <v>14</v>
      </c>
      <c r="J35" s="15">
        <v>89345.279999999999</v>
      </c>
      <c r="K35" s="13">
        <v>2</v>
      </c>
    </row>
    <row r="36" spans="1:11">
      <c r="A36" s="1">
        <f t="shared" si="0"/>
        <v>35</v>
      </c>
      <c r="B36" s="12">
        <v>40694940</v>
      </c>
      <c r="C36" s="4"/>
      <c r="D36" s="13" t="s">
        <v>89</v>
      </c>
      <c r="E36" s="14"/>
      <c r="F36" s="4" t="s">
        <v>13</v>
      </c>
      <c r="G36" s="15">
        <v>866.26</v>
      </c>
      <c r="H36" s="4">
        <v>2</v>
      </c>
      <c r="I36" s="4" t="s">
        <v>14</v>
      </c>
      <c r="J36" s="15">
        <v>1732.52</v>
      </c>
      <c r="K36" s="13">
        <v>2</v>
      </c>
    </row>
    <row r="37" spans="1:11">
      <c r="A37" s="1">
        <f t="shared" si="0"/>
        <v>36</v>
      </c>
      <c r="B37" s="12">
        <v>40627710</v>
      </c>
      <c r="C37" s="4"/>
      <c r="D37" s="13" t="s">
        <v>90</v>
      </c>
      <c r="E37" s="14"/>
      <c r="F37" s="4" t="s">
        <v>13</v>
      </c>
      <c r="G37" s="15">
        <v>42640.605000000003</v>
      </c>
      <c r="H37" s="4">
        <v>2</v>
      </c>
      <c r="I37" s="4" t="s">
        <v>14</v>
      </c>
      <c r="J37" s="15">
        <v>0</v>
      </c>
      <c r="K37" s="13">
        <v>2</v>
      </c>
    </row>
    <row r="38" spans="1:11">
      <c r="A38" s="1">
        <f t="shared" si="0"/>
        <v>37</v>
      </c>
      <c r="B38" s="12">
        <v>40694659</v>
      </c>
      <c r="C38" s="4"/>
      <c r="D38" s="13" t="s">
        <v>91</v>
      </c>
      <c r="E38" s="14"/>
      <c r="F38" s="4" t="s">
        <v>13</v>
      </c>
      <c r="G38" s="15">
        <v>478.16</v>
      </c>
      <c r="H38" s="4">
        <v>2</v>
      </c>
      <c r="I38" s="4" t="s">
        <v>14</v>
      </c>
      <c r="J38" s="15">
        <v>956.32</v>
      </c>
      <c r="K38" s="13">
        <v>2</v>
      </c>
    </row>
    <row r="39" spans="1:11">
      <c r="A39" s="1">
        <f t="shared" si="0"/>
        <v>38</v>
      </c>
      <c r="B39" s="12">
        <v>40694657</v>
      </c>
      <c r="C39" s="4"/>
      <c r="D39" s="13" t="s">
        <v>92</v>
      </c>
      <c r="E39" s="14"/>
      <c r="F39" s="4" t="s">
        <v>13</v>
      </c>
      <c r="G39" s="15">
        <v>9.8000000000000007</v>
      </c>
      <c r="H39" s="4">
        <v>6</v>
      </c>
      <c r="I39" s="4" t="s">
        <v>14</v>
      </c>
      <c r="J39" s="15">
        <v>58.8</v>
      </c>
      <c r="K39" s="13">
        <v>6</v>
      </c>
    </row>
    <row r="40" spans="1:11">
      <c r="A40" s="1">
        <f t="shared" si="0"/>
        <v>39</v>
      </c>
      <c r="B40" s="12">
        <v>40694656</v>
      </c>
      <c r="C40" s="4"/>
      <c r="D40" s="13" t="s">
        <v>93</v>
      </c>
      <c r="E40" s="14"/>
      <c r="F40" s="4" t="s">
        <v>13</v>
      </c>
      <c r="G40" s="15">
        <v>123.176666666667</v>
      </c>
      <c r="H40" s="4">
        <v>3</v>
      </c>
      <c r="I40" s="4" t="s">
        <v>14</v>
      </c>
      <c r="J40" s="15">
        <v>369.53</v>
      </c>
      <c r="K40" s="13">
        <v>3</v>
      </c>
    </row>
    <row r="41" spans="1:11">
      <c r="A41" s="1">
        <f t="shared" si="0"/>
        <v>40</v>
      </c>
      <c r="B41" s="12">
        <v>40694661</v>
      </c>
      <c r="C41" s="4"/>
      <c r="D41" s="13" t="s">
        <v>94</v>
      </c>
      <c r="E41" s="14"/>
      <c r="F41" s="4" t="s">
        <v>13</v>
      </c>
      <c r="G41" s="15">
        <v>6.54</v>
      </c>
      <c r="H41" s="4">
        <v>6</v>
      </c>
      <c r="I41" s="4" t="s">
        <v>14</v>
      </c>
      <c r="J41" s="15">
        <v>39.24</v>
      </c>
      <c r="K41" s="13">
        <v>6</v>
      </c>
    </row>
    <row r="42" spans="1:11">
      <c r="A42" s="1">
        <f t="shared" si="0"/>
        <v>41</v>
      </c>
      <c r="B42" s="12">
        <v>40694643</v>
      </c>
      <c r="C42" s="4"/>
      <c r="D42" s="13" t="s">
        <v>95</v>
      </c>
      <c r="E42" s="14"/>
      <c r="F42" s="4" t="s">
        <v>13</v>
      </c>
      <c r="G42" s="15">
        <v>7.91</v>
      </c>
      <c r="H42" s="4">
        <v>6</v>
      </c>
      <c r="I42" s="4" t="s">
        <v>14</v>
      </c>
      <c r="J42" s="15">
        <v>47.46</v>
      </c>
      <c r="K42" s="13">
        <v>6</v>
      </c>
    </row>
    <row r="43" spans="1:11">
      <c r="A43" s="1">
        <f t="shared" si="0"/>
        <v>42</v>
      </c>
      <c r="B43" s="12">
        <v>40787736</v>
      </c>
      <c r="C43" s="4"/>
      <c r="D43" s="13" t="s">
        <v>96</v>
      </c>
      <c r="E43" s="14"/>
      <c r="F43" s="4" t="s">
        <v>13</v>
      </c>
      <c r="G43" s="15">
        <v>38.51</v>
      </c>
      <c r="H43" s="4">
        <v>5</v>
      </c>
      <c r="I43" s="4" t="s">
        <v>14</v>
      </c>
      <c r="J43" s="15">
        <v>192.55</v>
      </c>
      <c r="K43" s="13">
        <v>5</v>
      </c>
    </row>
    <row r="44" spans="1:11">
      <c r="A44" s="1">
        <f t="shared" si="0"/>
        <v>43</v>
      </c>
      <c r="B44" s="12">
        <v>40787735</v>
      </c>
      <c r="C44" s="4"/>
      <c r="D44" s="13" t="s">
        <v>97</v>
      </c>
      <c r="E44" s="14"/>
      <c r="F44" s="4" t="s">
        <v>13</v>
      </c>
      <c r="G44" s="15">
        <v>22.31</v>
      </c>
      <c r="H44" s="4">
        <v>5</v>
      </c>
      <c r="I44" s="4" t="s">
        <v>14</v>
      </c>
      <c r="J44" s="15">
        <v>111.55</v>
      </c>
      <c r="K44" s="13">
        <v>5</v>
      </c>
    </row>
    <row r="45" spans="1:11">
      <c r="A45" s="1">
        <f t="shared" si="0"/>
        <v>44</v>
      </c>
      <c r="B45" s="12">
        <v>40787738</v>
      </c>
      <c r="C45" s="4"/>
      <c r="D45" s="13" t="s">
        <v>98</v>
      </c>
      <c r="E45" s="14"/>
      <c r="F45" s="4" t="s">
        <v>13</v>
      </c>
      <c r="G45" s="15">
        <v>64.44</v>
      </c>
      <c r="H45" s="4">
        <v>6</v>
      </c>
      <c r="I45" s="4" t="s">
        <v>14</v>
      </c>
      <c r="J45" s="15">
        <v>386.64</v>
      </c>
      <c r="K45" s="13">
        <v>6</v>
      </c>
    </row>
    <row r="46" spans="1:11">
      <c r="A46" s="1">
        <f t="shared" si="0"/>
        <v>45</v>
      </c>
      <c r="B46" s="12">
        <v>160103177</v>
      </c>
      <c r="C46" s="4"/>
      <c r="D46" s="13" t="s">
        <v>99</v>
      </c>
      <c r="E46" s="14"/>
      <c r="F46" s="4" t="s">
        <v>13</v>
      </c>
      <c r="G46" s="15">
        <v>1.46</v>
      </c>
      <c r="H46" s="4">
        <v>90</v>
      </c>
      <c r="I46" s="4" t="s">
        <v>14</v>
      </c>
      <c r="J46" s="15">
        <v>131.4</v>
      </c>
      <c r="K46" s="13">
        <v>90</v>
      </c>
    </row>
    <row r="47" spans="1:11">
      <c r="A47" s="1">
        <f t="shared" si="0"/>
        <v>46</v>
      </c>
      <c r="B47" s="12">
        <v>160103189</v>
      </c>
      <c r="C47" s="4"/>
      <c r="D47" s="13" t="s">
        <v>100</v>
      </c>
      <c r="E47" s="14"/>
      <c r="F47" s="4" t="s">
        <v>13</v>
      </c>
      <c r="G47" s="15">
        <v>8.5</v>
      </c>
      <c r="H47" s="4">
        <v>70</v>
      </c>
      <c r="I47" s="4" t="s">
        <v>14</v>
      </c>
      <c r="J47" s="15">
        <v>595</v>
      </c>
      <c r="K47" s="13">
        <v>70</v>
      </c>
    </row>
    <row r="48" spans="1:11">
      <c r="A48" s="1">
        <f t="shared" si="0"/>
        <v>47</v>
      </c>
      <c r="B48" s="12">
        <v>160103176</v>
      </c>
      <c r="C48" s="4"/>
      <c r="D48" s="13" t="s">
        <v>101</v>
      </c>
      <c r="E48" s="14"/>
      <c r="F48" s="4" t="s">
        <v>13</v>
      </c>
      <c r="G48" s="15">
        <v>2.12</v>
      </c>
      <c r="H48" s="4">
        <v>70</v>
      </c>
      <c r="I48" s="4" t="s">
        <v>14</v>
      </c>
      <c r="J48" s="15">
        <v>148.4</v>
      </c>
      <c r="K48" s="13">
        <v>70</v>
      </c>
    </row>
    <row r="49" spans="1:11">
      <c r="A49" s="1">
        <f t="shared" si="0"/>
        <v>48</v>
      </c>
      <c r="B49" s="12">
        <v>160103181</v>
      </c>
      <c r="C49" s="4"/>
      <c r="D49" s="13" t="s">
        <v>102</v>
      </c>
      <c r="E49" s="14"/>
      <c r="F49" s="4" t="s">
        <v>13</v>
      </c>
      <c r="G49" s="15">
        <v>0.31</v>
      </c>
      <c r="H49" s="4">
        <v>60</v>
      </c>
      <c r="I49" s="4" t="s">
        <v>14</v>
      </c>
      <c r="J49" s="15">
        <v>21.39</v>
      </c>
      <c r="K49" s="13">
        <v>60</v>
      </c>
    </row>
    <row r="50" spans="1:11">
      <c r="A50" s="1">
        <f t="shared" si="0"/>
        <v>49</v>
      </c>
      <c r="B50" s="12">
        <v>160103178</v>
      </c>
      <c r="C50" s="4"/>
      <c r="D50" s="13" t="s">
        <v>103</v>
      </c>
      <c r="E50" s="14"/>
      <c r="F50" s="4" t="s">
        <v>13</v>
      </c>
      <c r="G50" s="15">
        <v>2.71</v>
      </c>
      <c r="H50" s="4">
        <v>50</v>
      </c>
      <c r="I50" s="4" t="s">
        <v>14</v>
      </c>
      <c r="J50" s="15">
        <v>135.5</v>
      </c>
      <c r="K50" s="13">
        <v>50</v>
      </c>
    </row>
    <row r="51" spans="1:11">
      <c r="A51" s="1">
        <f t="shared" si="0"/>
        <v>50</v>
      </c>
      <c r="B51" s="12">
        <v>160103191</v>
      </c>
      <c r="C51" s="4"/>
      <c r="D51" s="13" t="s">
        <v>104</v>
      </c>
      <c r="E51" s="14"/>
      <c r="F51" s="4" t="s">
        <v>13</v>
      </c>
      <c r="G51" s="15">
        <v>0.57999999999999996</v>
      </c>
      <c r="H51" s="4">
        <v>80</v>
      </c>
      <c r="I51" s="4" t="s">
        <v>14</v>
      </c>
      <c r="J51" s="15">
        <v>52.2</v>
      </c>
      <c r="K51" s="13">
        <v>80</v>
      </c>
    </row>
    <row r="52" spans="1:11">
      <c r="A52" s="1">
        <f t="shared" si="0"/>
        <v>51</v>
      </c>
      <c r="B52" s="12">
        <v>160103193</v>
      </c>
      <c r="C52" s="4"/>
      <c r="D52" s="13" t="s">
        <v>105</v>
      </c>
      <c r="E52" s="14"/>
      <c r="F52" s="4" t="s">
        <v>13</v>
      </c>
      <c r="G52" s="15">
        <v>1.87</v>
      </c>
      <c r="H52" s="4">
        <v>100</v>
      </c>
      <c r="I52" s="4" t="s">
        <v>14</v>
      </c>
      <c r="J52" s="15">
        <v>187</v>
      </c>
      <c r="K52" s="13">
        <v>100</v>
      </c>
    </row>
    <row r="53" spans="1:11">
      <c r="A53" s="1">
        <f t="shared" si="0"/>
        <v>52</v>
      </c>
      <c r="B53" s="12">
        <v>160103183</v>
      </c>
      <c r="C53" s="4"/>
      <c r="D53" s="13" t="s">
        <v>106</v>
      </c>
      <c r="E53" s="14"/>
      <c r="F53" s="4" t="s">
        <v>13</v>
      </c>
      <c r="G53" s="15">
        <v>0.45</v>
      </c>
      <c r="H53" s="4">
        <v>90</v>
      </c>
      <c r="I53" s="4" t="s">
        <v>14</v>
      </c>
      <c r="J53" s="15">
        <v>40.5</v>
      </c>
      <c r="K53" s="13"/>
    </row>
    <row r="54" spans="1:11">
      <c r="A54" s="1">
        <f t="shared" si="0"/>
        <v>53</v>
      </c>
      <c r="B54" s="12">
        <v>160103179</v>
      </c>
      <c r="C54" s="4"/>
      <c r="D54" s="13" t="s">
        <v>107</v>
      </c>
      <c r="E54" s="14"/>
      <c r="F54" s="4" t="s">
        <v>13</v>
      </c>
      <c r="G54" s="15">
        <v>1.75</v>
      </c>
      <c r="H54" s="4">
        <v>89</v>
      </c>
      <c r="I54" s="4" t="s">
        <v>14</v>
      </c>
      <c r="J54" s="15">
        <v>140</v>
      </c>
      <c r="K54" s="13">
        <v>89</v>
      </c>
    </row>
    <row r="55" spans="1:11">
      <c r="A55" s="1">
        <f t="shared" si="0"/>
        <v>54</v>
      </c>
      <c r="B55" s="12">
        <v>160103185</v>
      </c>
      <c r="C55" s="4"/>
      <c r="D55" s="13" t="s">
        <v>108</v>
      </c>
      <c r="E55" s="14"/>
      <c r="F55" s="4" t="s">
        <v>13</v>
      </c>
      <c r="G55" s="15">
        <v>0.68</v>
      </c>
      <c r="H55" s="4">
        <v>100</v>
      </c>
      <c r="I55" s="4" t="s">
        <v>14</v>
      </c>
      <c r="J55" s="15">
        <v>68</v>
      </c>
      <c r="K55" s="13">
        <v>99</v>
      </c>
    </row>
    <row r="56" spans="1:11">
      <c r="A56" s="1">
        <f t="shared" si="0"/>
        <v>55</v>
      </c>
      <c r="B56" s="12">
        <v>160103188</v>
      </c>
      <c r="C56" s="4"/>
      <c r="D56" s="13" t="s">
        <v>109</v>
      </c>
      <c r="E56" s="14"/>
      <c r="F56" s="4" t="s">
        <v>13</v>
      </c>
      <c r="G56" s="15">
        <v>0.7</v>
      </c>
      <c r="H56" s="4">
        <v>99</v>
      </c>
      <c r="I56" s="4" t="s">
        <v>14</v>
      </c>
      <c r="J56" s="15">
        <v>70</v>
      </c>
      <c r="K56" s="13">
        <v>99</v>
      </c>
    </row>
    <row r="57" spans="1:11">
      <c r="A57" s="1">
        <f t="shared" si="0"/>
        <v>56</v>
      </c>
      <c r="B57" s="12">
        <v>160103190</v>
      </c>
      <c r="C57" s="4"/>
      <c r="D57" s="13" t="s">
        <v>110</v>
      </c>
      <c r="E57" s="14"/>
      <c r="F57" s="4" t="s">
        <v>13</v>
      </c>
      <c r="G57" s="15">
        <v>1.19</v>
      </c>
      <c r="H57" s="4">
        <v>99</v>
      </c>
      <c r="I57" s="4" t="s">
        <v>14</v>
      </c>
      <c r="J57" s="15">
        <v>119</v>
      </c>
      <c r="K57" s="13">
        <v>99</v>
      </c>
    </row>
    <row r="58" spans="1:11">
      <c r="A58" s="1">
        <f t="shared" si="0"/>
        <v>57</v>
      </c>
      <c r="B58" s="12">
        <v>160103182</v>
      </c>
      <c r="C58" s="4"/>
      <c r="D58" s="13" t="s">
        <v>111</v>
      </c>
      <c r="E58" s="14"/>
      <c r="F58" s="4" t="s">
        <v>13</v>
      </c>
      <c r="G58" s="15">
        <v>4.25</v>
      </c>
      <c r="H58" s="4">
        <v>100</v>
      </c>
      <c r="I58" s="4" t="s">
        <v>14</v>
      </c>
      <c r="J58" s="15">
        <v>425</v>
      </c>
      <c r="K58" s="13">
        <v>100</v>
      </c>
    </row>
    <row r="59" spans="1:11">
      <c r="A59" s="1">
        <f t="shared" si="0"/>
        <v>58</v>
      </c>
      <c r="B59" s="12">
        <v>160103184</v>
      </c>
      <c r="C59" s="4"/>
      <c r="D59" s="13" t="s">
        <v>112</v>
      </c>
      <c r="E59" s="14"/>
      <c r="F59" s="4" t="s">
        <v>13</v>
      </c>
      <c r="G59" s="15">
        <v>5.18</v>
      </c>
      <c r="H59" s="4">
        <v>90</v>
      </c>
      <c r="I59" s="4" t="s">
        <v>14</v>
      </c>
      <c r="J59" s="15">
        <v>466.2</v>
      </c>
      <c r="K59" s="13">
        <v>90</v>
      </c>
    </row>
    <row r="60" spans="1:11">
      <c r="A60" s="1">
        <f t="shared" si="0"/>
        <v>59</v>
      </c>
      <c r="B60" s="12">
        <v>160103186</v>
      </c>
      <c r="C60" s="4"/>
      <c r="D60" s="13" t="s">
        <v>113</v>
      </c>
      <c r="E60" s="14"/>
      <c r="F60" s="4" t="s">
        <v>13</v>
      </c>
      <c r="G60" s="15">
        <v>0.28999999999999998</v>
      </c>
      <c r="H60" s="4">
        <v>90</v>
      </c>
      <c r="I60" s="4" t="s">
        <v>14</v>
      </c>
      <c r="J60" s="15">
        <v>26.1</v>
      </c>
      <c r="K60" s="13">
        <v>90</v>
      </c>
    </row>
    <row r="61" spans="1:11">
      <c r="A61" s="1">
        <f t="shared" si="0"/>
        <v>60</v>
      </c>
      <c r="B61" s="12">
        <v>40153271</v>
      </c>
      <c r="C61" s="4"/>
      <c r="D61" s="13" t="s">
        <v>114</v>
      </c>
      <c r="E61" s="14"/>
      <c r="F61" s="4" t="s">
        <v>13</v>
      </c>
      <c r="G61" s="15">
        <v>9044.82</v>
      </c>
      <c r="H61" s="4">
        <v>1</v>
      </c>
      <c r="I61" s="4" t="s">
        <v>14</v>
      </c>
      <c r="J61" s="15">
        <v>9044.82</v>
      </c>
      <c r="K61" s="13">
        <v>1</v>
      </c>
    </row>
    <row r="62" spans="1:11">
      <c r="A62" s="1">
        <f t="shared" si="0"/>
        <v>61</v>
      </c>
      <c r="B62" s="12">
        <v>342911941</v>
      </c>
      <c r="C62" s="4"/>
      <c r="D62" s="13" t="s">
        <v>115</v>
      </c>
      <c r="E62" s="14"/>
      <c r="F62" s="4" t="s">
        <v>13</v>
      </c>
      <c r="G62" s="15">
        <v>16690.8</v>
      </c>
      <c r="H62" s="4">
        <v>2</v>
      </c>
      <c r="I62" s="4" t="s">
        <v>14</v>
      </c>
      <c r="J62" s="15">
        <v>33381.599999999999</v>
      </c>
      <c r="K62" s="13">
        <v>1</v>
      </c>
    </row>
    <row r="63" spans="1:11">
      <c r="A63" s="1">
        <f t="shared" si="0"/>
        <v>62</v>
      </c>
      <c r="B63" s="12">
        <v>40697914</v>
      </c>
      <c r="C63" s="4"/>
      <c r="D63" s="13" t="s">
        <v>116</v>
      </c>
      <c r="E63" s="14"/>
      <c r="F63" s="4" t="s">
        <v>13</v>
      </c>
      <c r="G63" s="15">
        <v>1440.54</v>
      </c>
      <c r="H63" s="4">
        <v>2</v>
      </c>
      <c r="I63" s="4" t="s">
        <v>14</v>
      </c>
      <c r="J63" s="15">
        <v>1440.54</v>
      </c>
      <c r="K63" s="13">
        <v>2</v>
      </c>
    </row>
    <row r="64" spans="1:11">
      <c r="A64" s="1">
        <f t="shared" si="0"/>
        <v>63</v>
      </c>
      <c r="B64" s="12">
        <v>40697204</v>
      </c>
      <c r="C64" s="4"/>
      <c r="D64" s="13" t="s">
        <v>117</v>
      </c>
      <c r="E64" s="14"/>
      <c r="F64" s="4" t="s">
        <v>13</v>
      </c>
      <c r="G64" s="15">
        <v>7267.41</v>
      </c>
      <c r="H64" s="4">
        <v>1</v>
      </c>
      <c r="I64" s="4" t="s">
        <v>14</v>
      </c>
      <c r="J64" s="15">
        <v>7267.41</v>
      </c>
      <c r="K64" s="13">
        <v>1</v>
      </c>
    </row>
    <row r="65" spans="1:11">
      <c r="A65" s="1">
        <f t="shared" si="0"/>
        <v>64</v>
      </c>
      <c r="B65" s="12">
        <v>40697922</v>
      </c>
      <c r="C65" s="4"/>
      <c r="D65" s="13" t="s">
        <v>118</v>
      </c>
      <c r="E65" s="14"/>
      <c r="F65" s="4" t="s">
        <v>13</v>
      </c>
      <c r="G65" s="15">
        <v>872.8</v>
      </c>
      <c r="H65" s="4">
        <v>1</v>
      </c>
      <c r="I65" s="4" t="s">
        <v>14</v>
      </c>
      <c r="J65" s="15">
        <v>872.8</v>
      </c>
      <c r="K65" s="13">
        <v>1</v>
      </c>
    </row>
    <row r="66" spans="1:11">
      <c r="A66" s="1">
        <f t="shared" ref="A66:A129" si="1">ROW()-1</f>
        <v>65</v>
      </c>
      <c r="B66" s="12">
        <v>40532414</v>
      </c>
      <c r="C66" s="4"/>
      <c r="D66" s="13" t="s">
        <v>119</v>
      </c>
      <c r="E66" s="14"/>
      <c r="F66" s="4" t="s">
        <v>13</v>
      </c>
      <c r="G66" s="15">
        <v>5524.92</v>
      </c>
      <c r="H66" s="4">
        <v>2</v>
      </c>
      <c r="I66" s="4" t="s">
        <v>14</v>
      </c>
      <c r="J66" s="15">
        <v>11049.84</v>
      </c>
      <c r="K66" s="13">
        <v>2</v>
      </c>
    </row>
    <row r="67" spans="1:11">
      <c r="A67" s="1">
        <f t="shared" si="1"/>
        <v>66</v>
      </c>
      <c r="B67" s="12">
        <v>40722690</v>
      </c>
      <c r="C67" s="4"/>
      <c r="D67" s="13" t="s">
        <v>120</v>
      </c>
      <c r="E67" s="14"/>
      <c r="F67" s="4" t="s">
        <v>13</v>
      </c>
      <c r="G67" s="15">
        <v>78.438000000000002</v>
      </c>
      <c r="H67" s="4">
        <v>9</v>
      </c>
      <c r="I67" s="4" t="s">
        <v>14</v>
      </c>
      <c r="J67" s="15">
        <v>705.94200000000001</v>
      </c>
      <c r="K67" s="13">
        <v>8</v>
      </c>
    </row>
    <row r="68" spans="1:11">
      <c r="A68" s="1">
        <f t="shared" si="1"/>
        <v>67</v>
      </c>
      <c r="B68" s="12">
        <v>160702815</v>
      </c>
      <c r="C68" s="4"/>
      <c r="D68" s="13" t="s">
        <v>121</v>
      </c>
      <c r="E68" s="14"/>
      <c r="F68" s="4" t="s">
        <v>13</v>
      </c>
      <c r="G68" s="15">
        <v>4089.38</v>
      </c>
      <c r="H68" s="4">
        <v>2</v>
      </c>
      <c r="I68" s="4" t="s">
        <v>14</v>
      </c>
      <c r="J68" s="15">
        <v>8178.76</v>
      </c>
      <c r="K68" s="13">
        <v>2</v>
      </c>
    </row>
    <row r="69" spans="1:11">
      <c r="A69" s="1">
        <f t="shared" si="1"/>
        <v>68</v>
      </c>
      <c r="B69" s="12">
        <v>160702124</v>
      </c>
      <c r="C69" s="4"/>
      <c r="D69" s="13" t="s">
        <v>122</v>
      </c>
      <c r="E69" s="14"/>
      <c r="F69" s="4" t="s">
        <v>13</v>
      </c>
      <c r="G69" s="15">
        <v>80</v>
      </c>
      <c r="H69" s="4">
        <v>15</v>
      </c>
      <c r="I69" s="4" t="s">
        <v>14</v>
      </c>
      <c r="J69" s="15">
        <v>1280</v>
      </c>
      <c r="K69" s="13">
        <v>13</v>
      </c>
    </row>
    <row r="70" spans="1:11">
      <c r="A70" s="1">
        <f t="shared" si="1"/>
        <v>69</v>
      </c>
      <c r="B70" s="12">
        <v>342801805</v>
      </c>
      <c r="C70" s="4"/>
      <c r="D70" s="13" t="s">
        <v>123</v>
      </c>
      <c r="E70" s="14"/>
      <c r="F70" s="4" t="s">
        <v>13</v>
      </c>
      <c r="G70" s="15">
        <v>1882.99</v>
      </c>
      <c r="H70" s="4">
        <v>2</v>
      </c>
      <c r="I70" s="4" t="s">
        <v>14</v>
      </c>
      <c r="J70" s="15">
        <v>5648.97</v>
      </c>
      <c r="K70" s="13">
        <v>2</v>
      </c>
    </row>
    <row r="71" spans="1:11">
      <c r="A71" s="1">
        <f t="shared" si="1"/>
        <v>70</v>
      </c>
      <c r="B71" s="12">
        <v>40722477</v>
      </c>
      <c r="C71" s="4"/>
      <c r="D71" s="13" t="s">
        <v>124</v>
      </c>
      <c r="E71" s="14"/>
      <c r="F71" s="4" t="s">
        <v>13</v>
      </c>
      <c r="G71" s="15">
        <v>380.66</v>
      </c>
      <c r="H71" s="4">
        <v>2</v>
      </c>
      <c r="I71" s="4" t="s">
        <v>14</v>
      </c>
      <c r="J71" s="15">
        <v>761.32</v>
      </c>
      <c r="K71" s="13">
        <v>2</v>
      </c>
    </row>
    <row r="72" spans="1:11">
      <c r="A72" s="1">
        <f t="shared" si="1"/>
        <v>71</v>
      </c>
      <c r="B72" s="12">
        <v>40691181</v>
      </c>
      <c r="C72" s="4"/>
      <c r="D72" s="13" t="s">
        <v>125</v>
      </c>
      <c r="E72" s="14"/>
      <c r="F72" s="4" t="s">
        <v>13</v>
      </c>
      <c r="G72" s="15">
        <v>3152.58</v>
      </c>
      <c r="H72" s="4">
        <v>1</v>
      </c>
      <c r="I72" s="4" t="s">
        <v>14</v>
      </c>
      <c r="J72" s="15">
        <v>3152.58</v>
      </c>
      <c r="K72" s="13">
        <v>1</v>
      </c>
    </row>
    <row r="73" spans="1:11">
      <c r="A73" s="1">
        <f t="shared" si="1"/>
        <v>72</v>
      </c>
      <c r="B73" s="12">
        <v>40695765</v>
      </c>
      <c r="C73" s="4"/>
      <c r="D73" s="13" t="s">
        <v>126</v>
      </c>
      <c r="E73" s="14"/>
      <c r="F73" s="4" t="s">
        <v>13</v>
      </c>
      <c r="G73" s="15">
        <v>2838.11</v>
      </c>
      <c r="H73" s="4">
        <v>1</v>
      </c>
      <c r="I73" s="4" t="s">
        <v>14</v>
      </c>
      <c r="J73" s="15">
        <v>2838.11</v>
      </c>
      <c r="K73" s="13">
        <v>1</v>
      </c>
    </row>
    <row r="74" spans="1:11">
      <c r="A74" s="1">
        <f t="shared" si="1"/>
        <v>73</v>
      </c>
      <c r="B74" s="12">
        <v>40675610</v>
      </c>
      <c r="C74" s="4"/>
      <c r="D74" s="13" t="s">
        <v>127</v>
      </c>
      <c r="E74" s="14"/>
      <c r="F74" s="4" t="s">
        <v>13</v>
      </c>
      <c r="G74" s="15">
        <v>9724.58</v>
      </c>
      <c r="H74" s="4">
        <v>1</v>
      </c>
      <c r="I74" s="4" t="s">
        <v>14</v>
      </c>
      <c r="J74" s="15">
        <v>9724.58</v>
      </c>
      <c r="K74" s="13">
        <v>1</v>
      </c>
    </row>
    <row r="75" spans="1:11">
      <c r="A75" s="1">
        <f t="shared" si="1"/>
        <v>74</v>
      </c>
      <c r="B75" s="12">
        <v>40632506</v>
      </c>
      <c r="C75" s="4"/>
      <c r="D75" s="13" t="s">
        <v>128</v>
      </c>
      <c r="E75" s="14"/>
      <c r="F75" s="4" t="s">
        <v>13</v>
      </c>
      <c r="G75" s="15">
        <v>8245.86</v>
      </c>
      <c r="H75" s="4">
        <v>1</v>
      </c>
      <c r="I75" s="4" t="s">
        <v>14</v>
      </c>
      <c r="J75" s="15">
        <v>8245.86</v>
      </c>
      <c r="K75" s="13">
        <v>1</v>
      </c>
    </row>
    <row r="76" spans="1:11">
      <c r="A76" s="1">
        <f t="shared" si="1"/>
        <v>75</v>
      </c>
      <c r="B76" s="12">
        <v>343801088</v>
      </c>
      <c r="C76" s="4"/>
      <c r="D76" s="13" t="s">
        <v>129</v>
      </c>
      <c r="E76" s="14"/>
      <c r="F76" s="4" t="s">
        <v>13</v>
      </c>
      <c r="G76" s="15">
        <v>637.92999999999995</v>
      </c>
      <c r="H76" s="4">
        <v>2</v>
      </c>
      <c r="I76" s="4" t="s">
        <v>14</v>
      </c>
      <c r="J76" s="15">
        <v>1275.8599999999999</v>
      </c>
      <c r="K76" s="13">
        <v>2</v>
      </c>
    </row>
    <row r="77" spans="1:11">
      <c r="A77" s="1">
        <f t="shared" si="1"/>
        <v>76</v>
      </c>
      <c r="B77" s="12">
        <v>40675611</v>
      </c>
      <c r="C77" s="4"/>
      <c r="D77" s="13" t="s">
        <v>130</v>
      </c>
      <c r="E77" s="14"/>
      <c r="F77" s="4" t="s">
        <v>13</v>
      </c>
      <c r="G77" s="15">
        <v>11562.14</v>
      </c>
      <c r="H77" s="4">
        <v>1</v>
      </c>
      <c r="I77" s="4" t="s">
        <v>14</v>
      </c>
      <c r="J77" s="15">
        <v>11562.14</v>
      </c>
      <c r="K77" s="13">
        <v>1</v>
      </c>
    </row>
    <row r="78" spans="1:11">
      <c r="A78" s="1">
        <f t="shared" si="1"/>
        <v>77</v>
      </c>
      <c r="B78" s="12">
        <v>40626996</v>
      </c>
      <c r="C78" s="4"/>
      <c r="D78" s="13" t="s">
        <v>131</v>
      </c>
      <c r="E78" s="14"/>
      <c r="F78" s="4" t="s">
        <v>13</v>
      </c>
      <c r="G78" s="15">
        <v>4498.6099999999997</v>
      </c>
      <c r="H78" s="4">
        <v>3</v>
      </c>
      <c r="I78" s="4" t="s">
        <v>14</v>
      </c>
      <c r="J78" s="15">
        <v>13495.83</v>
      </c>
      <c r="K78" s="13">
        <v>3</v>
      </c>
    </row>
    <row r="79" spans="1:11">
      <c r="A79" s="1">
        <f t="shared" si="1"/>
        <v>78</v>
      </c>
      <c r="B79" s="12">
        <v>40697923</v>
      </c>
      <c r="C79" s="4"/>
      <c r="D79" s="13" t="s">
        <v>132</v>
      </c>
      <c r="E79" s="14"/>
      <c r="F79" s="4" t="s">
        <v>13</v>
      </c>
      <c r="G79" s="15">
        <v>4080.71</v>
      </c>
      <c r="H79" s="4">
        <v>1</v>
      </c>
      <c r="I79" s="4" t="s">
        <v>14</v>
      </c>
      <c r="J79" s="15">
        <v>4080.71</v>
      </c>
      <c r="K79" s="13">
        <v>1</v>
      </c>
    </row>
    <row r="80" spans="1:11">
      <c r="A80" s="1">
        <f t="shared" si="1"/>
        <v>79</v>
      </c>
      <c r="B80" s="12">
        <v>40140629</v>
      </c>
      <c r="C80" s="4"/>
      <c r="D80" s="13" t="s">
        <v>133</v>
      </c>
      <c r="E80" s="14"/>
      <c r="F80" s="4" t="s">
        <v>13</v>
      </c>
      <c r="G80" s="15">
        <v>4532.82</v>
      </c>
      <c r="H80" s="4">
        <v>1</v>
      </c>
      <c r="I80" s="4" t="s">
        <v>14</v>
      </c>
      <c r="J80" s="15">
        <v>4532.82</v>
      </c>
      <c r="K80" s="13">
        <v>1</v>
      </c>
    </row>
    <row r="81" spans="1:11">
      <c r="A81" s="1">
        <f t="shared" si="1"/>
        <v>80</v>
      </c>
      <c r="B81" s="12">
        <v>160103192</v>
      </c>
      <c r="C81" s="4"/>
      <c r="D81" s="13" t="s">
        <v>60</v>
      </c>
      <c r="E81" s="14"/>
      <c r="F81" s="4" t="s">
        <v>13</v>
      </c>
      <c r="G81" s="15">
        <v>1.58</v>
      </c>
      <c r="H81" s="4">
        <v>50</v>
      </c>
      <c r="I81" s="4" t="s">
        <v>14</v>
      </c>
      <c r="J81" s="15">
        <v>158</v>
      </c>
      <c r="K81" s="13">
        <v>50</v>
      </c>
    </row>
    <row r="82" spans="1:11">
      <c r="A82" s="1">
        <f t="shared" si="1"/>
        <v>81</v>
      </c>
      <c r="B82" s="12">
        <v>160103180</v>
      </c>
      <c r="C82" s="4"/>
      <c r="D82" s="13" t="s">
        <v>134</v>
      </c>
      <c r="E82" s="14"/>
      <c r="F82" s="4" t="s">
        <v>13</v>
      </c>
      <c r="G82" s="15">
        <v>3.04</v>
      </c>
      <c r="H82" s="4">
        <v>80</v>
      </c>
      <c r="I82" s="4" t="s">
        <v>14</v>
      </c>
      <c r="J82" s="15">
        <v>273.60000000000002</v>
      </c>
      <c r="K82" s="13">
        <v>100</v>
      </c>
    </row>
    <row r="83" spans="1:11">
      <c r="A83" s="1">
        <f t="shared" si="1"/>
        <v>82</v>
      </c>
      <c r="B83" s="12">
        <v>40675616</v>
      </c>
      <c r="C83" s="4"/>
      <c r="D83" s="13" t="s">
        <v>135</v>
      </c>
      <c r="E83" s="14"/>
      <c r="F83" s="4" t="s">
        <v>13</v>
      </c>
      <c r="G83" s="15">
        <v>27320.91</v>
      </c>
      <c r="H83" s="4">
        <v>1</v>
      </c>
      <c r="I83" s="4" t="s">
        <v>14</v>
      </c>
      <c r="J83" s="15">
        <v>27320.91</v>
      </c>
      <c r="K83" s="13">
        <v>1</v>
      </c>
    </row>
    <row r="84" spans="1:11">
      <c r="A84" s="1">
        <f t="shared" si="1"/>
        <v>83</v>
      </c>
      <c r="B84" s="12">
        <v>40789851</v>
      </c>
      <c r="C84" s="4"/>
      <c r="D84" s="13" t="s">
        <v>136</v>
      </c>
      <c r="E84" s="14"/>
      <c r="F84" s="4" t="s">
        <v>13</v>
      </c>
      <c r="G84" s="15">
        <v>0</v>
      </c>
      <c r="H84" s="4">
        <v>2</v>
      </c>
      <c r="I84" s="4" t="s">
        <v>14</v>
      </c>
      <c r="J84" s="15">
        <v>0</v>
      </c>
      <c r="K84" s="13">
        <v>1</v>
      </c>
    </row>
    <row r="85" spans="1:11">
      <c r="A85" s="1">
        <f t="shared" si="1"/>
        <v>84</v>
      </c>
      <c r="B85" s="12">
        <v>40789853</v>
      </c>
      <c r="C85" s="4"/>
      <c r="D85" s="13" t="s">
        <v>137</v>
      </c>
      <c r="E85" s="14"/>
      <c r="F85" s="4" t="s">
        <v>13</v>
      </c>
      <c r="G85" s="15">
        <v>5764.48</v>
      </c>
      <c r="H85" s="4">
        <v>1</v>
      </c>
      <c r="I85" s="4" t="s">
        <v>14</v>
      </c>
      <c r="J85" s="15">
        <v>11528.96</v>
      </c>
      <c r="K85" s="13">
        <v>1</v>
      </c>
    </row>
    <row r="86" spans="1:11">
      <c r="A86" s="1">
        <f t="shared" si="1"/>
        <v>85</v>
      </c>
      <c r="B86" s="12">
        <v>40789855</v>
      </c>
      <c r="C86" s="4"/>
      <c r="D86" s="13" t="s">
        <v>138</v>
      </c>
      <c r="E86" s="14"/>
      <c r="F86" s="4" t="s">
        <v>13</v>
      </c>
      <c r="G86" s="15">
        <v>6191.05</v>
      </c>
      <c r="H86" s="4">
        <v>1</v>
      </c>
      <c r="I86" s="4" t="s">
        <v>14</v>
      </c>
      <c r="J86" s="15">
        <v>6191.05</v>
      </c>
      <c r="K86" s="13">
        <v>1</v>
      </c>
    </row>
    <row r="87" spans="1:11">
      <c r="A87" s="1">
        <f t="shared" si="1"/>
        <v>86</v>
      </c>
      <c r="B87" s="12">
        <v>40789854</v>
      </c>
      <c r="C87" s="4"/>
      <c r="D87" s="13" t="s">
        <v>139</v>
      </c>
      <c r="E87" s="14"/>
      <c r="F87" s="4" t="s">
        <v>13</v>
      </c>
      <c r="G87" s="15">
        <v>4977.1400000000003</v>
      </c>
      <c r="H87" s="4">
        <v>1</v>
      </c>
      <c r="I87" s="4" t="s">
        <v>14</v>
      </c>
      <c r="J87" s="15">
        <v>4977.1400000000003</v>
      </c>
      <c r="K87" s="13">
        <v>1</v>
      </c>
    </row>
    <row r="88" spans="1:11">
      <c r="A88" s="1">
        <f t="shared" si="1"/>
        <v>87</v>
      </c>
      <c r="B88" s="12">
        <v>40789856</v>
      </c>
      <c r="C88" s="4"/>
      <c r="D88" s="13" t="s">
        <v>140</v>
      </c>
      <c r="E88" s="14"/>
      <c r="F88" s="4" t="s">
        <v>13</v>
      </c>
      <c r="G88" s="15">
        <v>3529.57</v>
      </c>
      <c r="H88" s="4">
        <v>2</v>
      </c>
      <c r="I88" s="4" t="s">
        <v>14</v>
      </c>
      <c r="J88" s="15">
        <v>7059.14</v>
      </c>
      <c r="K88" s="13">
        <v>2</v>
      </c>
    </row>
    <row r="89" spans="1:11">
      <c r="A89" s="1">
        <f t="shared" si="1"/>
        <v>88</v>
      </c>
      <c r="B89" s="12">
        <v>40789857</v>
      </c>
      <c r="C89" s="4"/>
      <c r="D89" s="13" t="s">
        <v>141</v>
      </c>
      <c r="E89" s="14"/>
      <c r="F89" s="4" t="s">
        <v>13</v>
      </c>
      <c r="G89" s="15">
        <v>2981.9</v>
      </c>
      <c r="H89" s="4">
        <v>2</v>
      </c>
      <c r="I89" s="4" t="s">
        <v>14</v>
      </c>
      <c r="J89" s="15">
        <v>2981.9</v>
      </c>
      <c r="K89" s="13">
        <v>2</v>
      </c>
    </row>
    <row r="90" spans="1:11">
      <c r="A90" s="1">
        <f t="shared" si="1"/>
        <v>89</v>
      </c>
      <c r="B90" s="12">
        <v>131300517</v>
      </c>
      <c r="C90" s="4"/>
      <c r="D90" s="13" t="s">
        <v>142</v>
      </c>
      <c r="E90" s="14"/>
      <c r="F90" s="4" t="s">
        <v>13</v>
      </c>
      <c r="G90" s="15">
        <v>56</v>
      </c>
      <c r="H90" s="4">
        <v>83</v>
      </c>
      <c r="I90" s="4" t="s">
        <v>14</v>
      </c>
      <c r="J90" s="15">
        <v>2408</v>
      </c>
      <c r="K90" s="13">
        <v>82</v>
      </c>
    </row>
    <row r="91" spans="1:11">
      <c r="A91" s="1">
        <f t="shared" si="1"/>
        <v>90</v>
      </c>
      <c r="B91" s="12">
        <v>171000725</v>
      </c>
      <c r="C91" s="4"/>
      <c r="D91" s="13" t="s">
        <v>143</v>
      </c>
      <c r="E91" s="14"/>
      <c r="F91" s="4" t="s">
        <v>13</v>
      </c>
      <c r="G91" s="15">
        <v>0.45</v>
      </c>
      <c r="H91" s="4">
        <v>400</v>
      </c>
      <c r="I91" s="4" t="s">
        <v>144</v>
      </c>
      <c r="J91" s="15">
        <v>225</v>
      </c>
      <c r="K91" s="13"/>
    </row>
    <row r="92" spans="1:11">
      <c r="A92" s="1">
        <f t="shared" si="1"/>
        <v>91</v>
      </c>
      <c r="B92" s="12">
        <v>40644055</v>
      </c>
      <c r="C92" s="4"/>
      <c r="D92" s="13" t="s">
        <v>145</v>
      </c>
      <c r="E92" s="14"/>
      <c r="F92" s="4" t="s">
        <v>13</v>
      </c>
      <c r="G92" s="15">
        <v>5720.92</v>
      </c>
      <c r="H92" s="4">
        <v>1</v>
      </c>
      <c r="I92" s="4" t="s">
        <v>14</v>
      </c>
      <c r="J92" s="15">
        <v>5720.92</v>
      </c>
      <c r="K92" s="13">
        <v>1</v>
      </c>
    </row>
    <row r="93" spans="1:11">
      <c r="A93" s="1">
        <f t="shared" si="1"/>
        <v>92</v>
      </c>
      <c r="B93" s="12">
        <v>171002820</v>
      </c>
      <c r="C93" s="4"/>
      <c r="D93" s="13" t="s">
        <v>146</v>
      </c>
      <c r="E93" s="14"/>
      <c r="F93" s="4" t="s">
        <v>13</v>
      </c>
      <c r="G93" s="15">
        <v>14</v>
      </c>
      <c r="H93" s="4">
        <v>50</v>
      </c>
      <c r="I93" s="4" t="s">
        <v>14</v>
      </c>
      <c r="J93" s="15">
        <v>700</v>
      </c>
      <c r="K93" s="13">
        <v>50</v>
      </c>
    </row>
    <row r="94" spans="1:11">
      <c r="A94" s="1">
        <f t="shared" si="1"/>
        <v>93</v>
      </c>
      <c r="B94" s="12">
        <v>40248703</v>
      </c>
      <c r="C94" s="4"/>
      <c r="D94" s="13" t="s">
        <v>147</v>
      </c>
      <c r="E94" s="14"/>
      <c r="F94" s="4" t="s">
        <v>13</v>
      </c>
      <c r="G94" s="15">
        <v>33.172051282051299</v>
      </c>
      <c r="H94" s="4">
        <v>7</v>
      </c>
      <c r="I94" s="4" t="s">
        <v>14</v>
      </c>
      <c r="J94" s="15">
        <v>232.204358974359</v>
      </c>
      <c r="K94" s="13">
        <v>7</v>
      </c>
    </row>
    <row r="95" spans="1:11">
      <c r="A95" s="1">
        <f t="shared" si="1"/>
        <v>94</v>
      </c>
      <c r="B95" s="12"/>
      <c r="C95" s="4"/>
      <c r="D95" s="13" t="s">
        <v>148</v>
      </c>
      <c r="E95" s="14"/>
      <c r="F95" s="4" t="s">
        <v>13</v>
      </c>
      <c r="G95" s="15" t="s">
        <v>149</v>
      </c>
      <c r="H95" s="4">
        <v>1</v>
      </c>
      <c r="I95" s="4"/>
      <c r="J95" s="15"/>
      <c r="K95" s="13"/>
    </row>
    <row r="96" spans="1:11">
      <c r="A96" s="1">
        <f t="shared" si="1"/>
        <v>95</v>
      </c>
      <c r="B96" s="12" t="s">
        <v>3462</v>
      </c>
      <c r="C96" s="4"/>
      <c r="D96" s="13" t="s">
        <v>150</v>
      </c>
      <c r="E96" s="14"/>
      <c r="F96" s="4" t="s">
        <v>13</v>
      </c>
      <c r="G96" s="15" t="s">
        <v>149</v>
      </c>
      <c r="H96" s="4">
        <v>2</v>
      </c>
      <c r="I96" s="4"/>
      <c r="J96" s="15"/>
      <c r="K96" s="13">
        <v>2</v>
      </c>
    </row>
    <row r="97" spans="1:198">
      <c r="A97" s="1">
        <f t="shared" si="1"/>
        <v>96</v>
      </c>
      <c r="B97" s="12"/>
      <c r="C97" s="4"/>
      <c r="D97" s="13" t="s">
        <v>151</v>
      </c>
      <c r="E97" s="14"/>
      <c r="F97" s="4" t="s">
        <v>13</v>
      </c>
      <c r="G97" s="15" t="s">
        <v>149</v>
      </c>
      <c r="H97" s="4">
        <v>2</v>
      </c>
      <c r="I97" s="4"/>
      <c r="J97" s="15"/>
      <c r="K97" s="13">
        <v>0</v>
      </c>
    </row>
    <row r="98" spans="1:198">
      <c r="A98" s="1">
        <f t="shared" si="1"/>
        <v>97</v>
      </c>
      <c r="B98" s="12">
        <v>171002822</v>
      </c>
      <c r="C98" s="4"/>
      <c r="D98" s="13" t="s">
        <v>152</v>
      </c>
      <c r="E98" s="14"/>
      <c r="F98" s="4" t="s">
        <v>13</v>
      </c>
      <c r="G98" s="15">
        <v>17</v>
      </c>
      <c r="H98" s="4">
        <v>50</v>
      </c>
      <c r="I98" s="4" t="s">
        <v>14</v>
      </c>
      <c r="J98" s="15">
        <v>850</v>
      </c>
      <c r="K98" s="13"/>
    </row>
    <row r="99" spans="1:198">
      <c r="A99" s="1">
        <f t="shared" si="1"/>
        <v>98</v>
      </c>
      <c r="B99" s="12">
        <v>171002824</v>
      </c>
      <c r="C99" s="4"/>
      <c r="D99" s="13" t="s">
        <v>153</v>
      </c>
      <c r="E99" s="14"/>
      <c r="F99" s="4" t="s">
        <v>13</v>
      </c>
      <c r="G99" s="15">
        <v>15</v>
      </c>
      <c r="H99" s="4">
        <v>46</v>
      </c>
      <c r="I99" s="4" t="s">
        <v>14</v>
      </c>
      <c r="J99" s="15">
        <v>690</v>
      </c>
      <c r="K99" s="13"/>
    </row>
    <row r="100" spans="1:198">
      <c r="A100" s="1">
        <f t="shared" si="1"/>
        <v>99</v>
      </c>
      <c r="B100" s="12">
        <v>171002825</v>
      </c>
      <c r="C100" s="4"/>
      <c r="D100" s="13" t="s">
        <v>154</v>
      </c>
      <c r="E100" s="14"/>
      <c r="F100" s="4" t="s">
        <v>13</v>
      </c>
      <c r="G100" s="15">
        <v>16</v>
      </c>
      <c r="H100" s="4">
        <v>30</v>
      </c>
      <c r="I100" s="4" t="s">
        <v>14</v>
      </c>
      <c r="J100" s="15">
        <v>480</v>
      </c>
      <c r="K100" s="13"/>
    </row>
    <row r="101" spans="1:198">
      <c r="A101" s="1">
        <f t="shared" si="1"/>
        <v>100</v>
      </c>
      <c r="B101" s="12">
        <v>40671455</v>
      </c>
      <c r="C101" s="4"/>
      <c r="D101" s="13" t="s">
        <v>155</v>
      </c>
      <c r="E101" s="14"/>
      <c r="F101" s="4" t="s">
        <v>13</v>
      </c>
      <c r="G101" s="15">
        <v>859.22</v>
      </c>
      <c r="H101" s="4">
        <v>74</v>
      </c>
      <c r="I101" s="4" t="s">
        <v>14</v>
      </c>
      <c r="J101" s="15">
        <v>64441.5</v>
      </c>
      <c r="K101" s="13"/>
    </row>
    <row r="102" spans="1:198" s="16" customFormat="1">
      <c r="A102" s="1">
        <f t="shared" si="1"/>
        <v>101</v>
      </c>
      <c r="B102" s="12">
        <v>40787737</v>
      </c>
      <c r="C102" s="4"/>
      <c r="D102" s="13" t="s">
        <v>98</v>
      </c>
      <c r="E102" s="14"/>
      <c r="F102" s="4" t="s">
        <v>13</v>
      </c>
      <c r="G102" s="15">
        <v>82.56</v>
      </c>
      <c r="H102" s="4">
        <v>6</v>
      </c>
      <c r="I102" s="4" t="s">
        <v>14</v>
      </c>
      <c r="J102" s="15">
        <v>495.36</v>
      </c>
      <c r="K102" s="13">
        <v>6</v>
      </c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</row>
    <row r="103" spans="1:198" s="16" customFormat="1">
      <c r="A103" s="1">
        <f t="shared" si="1"/>
        <v>102</v>
      </c>
      <c r="B103" s="12">
        <v>40787739</v>
      </c>
      <c r="C103" s="4"/>
      <c r="D103" s="13" t="s">
        <v>98</v>
      </c>
      <c r="E103" s="14"/>
      <c r="F103" s="4" t="s">
        <v>13</v>
      </c>
      <c r="G103" s="15">
        <v>37.18</v>
      </c>
      <c r="H103" s="4">
        <v>5</v>
      </c>
      <c r="I103" s="4" t="s">
        <v>14</v>
      </c>
      <c r="J103" s="15">
        <v>185.9</v>
      </c>
      <c r="K103" s="13">
        <v>5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</row>
    <row r="104" spans="1:198" s="16" customFormat="1">
      <c r="A104" s="1">
        <f t="shared" si="1"/>
        <v>103</v>
      </c>
      <c r="B104" s="12">
        <v>40787750</v>
      </c>
      <c r="C104" s="4"/>
      <c r="D104" s="13" t="s">
        <v>156</v>
      </c>
      <c r="E104" s="14"/>
      <c r="F104" s="4" t="s">
        <v>13</v>
      </c>
      <c r="G104" s="15">
        <v>71.12</v>
      </c>
      <c r="H104" s="4">
        <v>5</v>
      </c>
      <c r="I104" s="4" t="s">
        <v>59</v>
      </c>
      <c r="J104" s="15">
        <v>355.6</v>
      </c>
      <c r="K104" s="13">
        <v>5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</row>
    <row r="105" spans="1:198">
      <c r="A105" s="1">
        <f t="shared" si="1"/>
        <v>104</v>
      </c>
      <c r="B105" s="12">
        <v>40787740</v>
      </c>
      <c r="C105" s="4"/>
      <c r="D105" s="13" t="s">
        <v>157</v>
      </c>
      <c r="E105" s="14"/>
      <c r="F105" s="4" t="s">
        <v>13</v>
      </c>
      <c r="G105" s="15">
        <v>100.1</v>
      </c>
      <c r="H105" s="4">
        <v>44</v>
      </c>
      <c r="I105" s="4" t="s">
        <v>14</v>
      </c>
      <c r="J105" s="15">
        <v>4404.3999999999996</v>
      </c>
      <c r="K105" s="13">
        <v>44</v>
      </c>
    </row>
    <row r="106" spans="1:198">
      <c r="A106" s="1">
        <f t="shared" si="1"/>
        <v>105</v>
      </c>
      <c r="B106" s="12">
        <v>40787749</v>
      </c>
      <c r="C106" s="4"/>
      <c r="D106" s="13" t="s">
        <v>156</v>
      </c>
      <c r="E106" s="14"/>
      <c r="F106" s="4" t="s">
        <v>13</v>
      </c>
      <c r="G106" s="15">
        <v>84.65</v>
      </c>
      <c r="H106" s="4">
        <v>5</v>
      </c>
      <c r="I106" s="4" t="s">
        <v>59</v>
      </c>
      <c r="J106" s="15">
        <v>423.25</v>
      </c>
      <c r="K106" s="13">
        <v>5</v>
      </c>
    </row>
    <row r="107" spans="1:198" s="16" customFormat="1">
      <c r="A107" s="1">
        <f t="shared" si="1"/>
        <v>106</v>
      </c>
      <c r="B107" s="12">
        <v>40787741</v>
      </c>
      <c r="C107" s="4"/>
      <c r="D107" s="13" t="s">
        <v>157</v>
      </c>
      <c r="E107" s="14"/>
      <c r="F107" s="4" t="s">
        <v>13</v>
      </c>
      <c r="G107" s="15">
        <v>65.97</v>
      </c>
      <c r="H107" s="4">
        <v>27</v>
      </c>
      <c r="I107" s="4" t="s">
        <v>14</v>
      </c>
      <c r="J107" s="15">
        <v>1781.19</v>
      </c>
      <c r="K107" s="13">
        <v>27</v>
      </c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</row>
    <row r="108" spans="1:198" s="16" customFormat="1">
      <c r="A108" s="1">
        <f t="shared" si="1"/>
        <v>107</v>
      </c>
      <c r="B108" s="12">
        <v>40778840</v>
      </c>
      <c r="C108" s="4"/>
      <c r="D108" s="13" t="s">
        <v>158</v>
      </c>
      <c r="E108" s="14"/>
      <c r="F108" s="4" t="s">
        <v>13</v>
      </c>
      <c r="G108" s="15">
        <v>1572.71</v>
      </c>
      <c r="H108" s="4">
        <v>2</v>
      </c>
      <c r="I108" s="4" t="s">
        <v>14</v>
      </c>
      <c r="J108" s="15">
        <v>3145.42</v>
      </c>
      <c r="K108" s="13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</row>
    <row r="109" spans="1:198" s="16" customFormat="1">
      <c r="A109" s="1">
        <f t="shared" si="1"/>
        <v>108</v>
      </c>
      <c r="B109" s="12">
        <v>40778507</v>
      </c>
      <c r="C109" s="4"/>
      <c r="D109" s="19" t="s">
        <v>158</v>
      </c>
      <c r="E109" s="14"/>
      <c r="F109" s="4" t="s">
        <v>13</v>
      </c>
      <c r="G109" s="15">
        <v>1255.21</v>
      </c>
      <c r="H109" s="4">
        <v>1</v>
      </c>
      <c r="I109" s="4" t="s">
        <v>14</v>
      </c>
      <c r="J109" s="15">
        <v>1255.21</v>
      </c>
      <c r="K109" s="13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</row>
    <row r="110" spans="1:198" s="16" customFormat="1">
      <c r="A110" s="1">
        <f t="shared" si="1"/>
        <v>109</v>
      </c>
      <c r="B110" s="12">
        <v>130100566</v>
      </c>
      <c r="C110" s="4"/>
      <c r="D110" s="19" t="s">
        <v>159</v>
      </c>
      <c r="E110" s="14"/>
      <c r="F110" s="4" t="s">
        <v>13</v>
      </c>
      <c r="G110" s="15">
        <v>479.84</v>
      </c>
      <c r="H110" s="4">
        <v>1</v>
      </c>
      <c r="I110" s="4" t="s">
        <v>59</v>
      </c>
      <c r="J110" s="15">
        <v>479.84</v>
      </c>
      <c r="K110" s="13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</row>
    <row r="111" spans="1:198" s="16" customFormat="1">
      <c r="A111" s="1">
        <f t="shared" si="1"/>
        <v>110</v>
      </c>
      <c r="B111" s="12">
        <v>130100118</v>
      </c>
      <c r="C111" s="4"/>
      <c r="D111" s="19" t="s">
        <v>160</v>
      </c>
      <c r="E111" s="14"/>
      <c r="F111" s="4" t="s">
        <v>13</v>
      </c>
      <c r="G111" s="15">
        <v>40.81</v>
      </c>
      <c r="H111" s="4">
        <v>3</v>
      </c>
      <c r="I111" s="4" t="s">
        <v>14</v>
      </c>
      <c r="J111" s="15">
        <v>81.62</v>
      </c>
      <c r="K111" s="13">
        <v>3</v>
      </c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</row>
    <row r="112" spans="1:198" s="16" customFormat="1">
      <c r="A112" s="1">
        <f t="shared" si="1"/>
        <v>111</v>
      </c>
      <c r="B112" s="12">
        <v>130100112</v>
      </c>
      <c r="C112" s="4"/>
      <c r="D112" s="19" t="s">
        <v>161</v>
      </c>
      <c r="E112" s="14"/>
      <c r="F112" s="4" t="s">
        <v>13</v>
      </c>
      <c r="G112" s="15">
        <v>121.58</v>
      </c>
      <c r="H112" s="4">
        <v>3</v>
      </c>
      <c r="I112" s="4" t="s">
        <v>14</v>
      </c>
      <c r="J112" s="15">
        <v>243.16</v>
      </c>
      <c r="K112" s="13">
        <v>1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</row>
    <row r="113" spans="1:198" s="16" customFormat="1">
      <c r="A113" s="1">
        <f t="shared" si="1"/>
        <v>112</v>
      </c>
      <c r="B113" s="12">
        <v>40724936</v>
      </c>
      <c r="C113" s="4"/>
      <c r="D113" s="19" t="s">
        <v>162</v>
      </c>
      <c r="E113" s="14"/>
      <c r="F113" s="4" t="s">
        <v>13</v>
      </c>
      <c r="G113" s="15">
        <v>228.23</v>
      </c>
      <c r="H113" s="4">
        <v>8</v>
      </c>
      <c r="I113" s="4" t="s">
        <v>14</v>
      </c>
      <c r="J113" s="15">
        <v>1825.84</v>
      </c>
      <c r="K113" s="13">
        <v>8</v>
      </c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</row>
    <row r="114" spans="1:198" s="16" customFormat="1">
      <c r="A114" s="1">
        <f t="shared" si="1"/>
        <v>113</v>
      </c>
      <c r="B114" s="12">
        <v>40724937</v>
      </c>
      <c r="C114" s="4"/>
      <c r="D114" s="19" t="s">
        <v>163</v>
      </c>
      <c r="E114" s="14"/>
      <c r="F114" s="4" t="s">
        <v>13</v>
      </c>
      <c r="G114" s="15">
        <v>197.87</v>
      </c>
      <c r="H114" s="4">
        <v>13</v>
      </c>
      <c r="I114" s="4" t="s">
        <v>14</v>
      </c>
      <c r="J114" s="15">
        <v>2572.31</v>
      </c>
      <c r="K114" s="13">
        <v>13</v>
      </c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</row>
    <row r="115" spans="1:198" s="16" customFormat="1">
      <c r="A115" s="1">
        <f t="shared" si="1"/>
        <v>114</v>
      </c>
      <c r="B115" s="12">
        <v>40724967</v>
      </c>
      <c r="C115" s="4"/>
      <c r="D115" s="19" t="s">
        <v>164</v>
      </c>
      <c r="E115" s="14"/>
      <c r="F115" s="4" t="s">
        <v>13</v>
      </c>
      <c r="G115" s="15">
        <v>170.9</v>
      </c>
      <c r="H115" s="4">
        <v>6</v>
      </c>
      <c r="I115" s="4" t="s">
        <v>14</v>
      </c>
      <c r="J115" s="15">
        <v>1025.4000000000001</v>
      </c>
      <c r="K115" s="13">
        <v>6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</row>
    <row r="116" spans="1:198" s="16" customFormat="1">
      <c r="A116" s="1">
        <f t="shared" si="1"/>
        <v>115</v>
      </c>
      <c r="B116" s="12">
        <v>40693972</v>
      </c>
      <c r="C116" s="4"/>
      <c r="D116" s="19" t="s">
        <v>165</v>
      </c>
      <c r="E116" s="14"/>
      <c r="F116" s="4" t="s">
        <v>13</v>
      </c>
      <c r="G116" s="15">
        <v>1104.1500000000001</v>
      </c>
      <c r="H116" s="4">
        <v>16</v>
      </c>
      <c r="I116" s="4" t="s">
        <v>14</v>
      </c>
      <c r="J116" s="15">
        <v>17666.400000000001</v>
      </c>
      <c r="K116" s="13">
        <v>15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</row>
    <row r="117" spans="1:198" s="16" customFormat="1">
      <c r="A117" s="1">
        <f t="shared" si="1"/>
        <v>116</v>
      </c>
      <c r="B117" s="12">
        <v>130400336</v>
      </c>
      <c r="C117" s="4"/>
      <c r="D117" s="19" t="s">
        <v>166</v>
      </c>
      <c r="E117" s="14"/>
      <c r="F117" s="4" t="s">
        <v>13</v>
      </c>
      <c r="G117" s="15">
        <v>18.25</v>
      </c>
      <c r="H117" s="4">
        <v>16</v>
      </c>
      <c r="I117" s="4" t="s">
        <v>14</v>
      </c>
      <c r="J117" s="15">
        <v>36.5</v>
      </c>
      <c r="K117" s="13">
        <v>16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</row>
    <row r="118" spans="1:198" s="16" customFormat="1">
      <c r="A118" s="1">
        <f t="shared" si="1"/>
        <v>117</v>
      </c>
      <c r="B118" s="12">
        <v>130800407</v>
      </c>
      <c r="C118" s="4"/>
      <c r="D118" s="19" t="s">
        <v>167</v>
      </c>
      <c r="E118" s="14"/>
      <c r="F118" s="4" t="s">
        <v>13</v>
      </c>
      <c r="G118" s="15">
        <v>19.989999999999998</v>
      </c>
      <c r="H118" s="4">
        <v>40</v>
      </c>
      <c r="I118" s="4" t="s">
        <v>14</v>
      </c>
      <c r="J118" s="15">
        <v>799.6</v>
      </c>
      <c r="K118" s="13">
        <v>40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</row>
    <row r="119" spans="1:198" s="16" customFormat="1">
      <c r="A119" s="1">
        <f t="shared" si="1"/>
        <v>118</v>
      </c>
      <c r="B119" s="12">
        <v>130600172</v>
      </c>
      <c r="C119" s="4"/>
      <c r="D119" s="19" t="s">
        <v>168</v>
      </c>
      <c r="E119" s="14"/>
      <c r="F119" s="4" t="s">
        <v>13</v>
      </c>
      <c r="G119" s="15">
        <v>2.73</v>
      </c>
      <c r="H119" s="4">
        <v>6</v>
      </c>
      <c r="I119" s="4" t="s">
        <v>14</v>
      </c>
      <c r="J119" s="15">
        <v>16.38</v>
      </c>
      <c r="K119" s="13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</row>
    <row r="120" spans="1:198" s="16" customFormat="1">
      <c r="A120" s="1">
        <f t="shared" si="1"/>
        <v>119</v>
      </c>
      <c r="B120" s="12">
        <v>130900506</v>
      </c>
      <c r="C120" s="4"/>
      <c r="D120" s="19" t="s">
        <v>169</v>
      </c>
      <c r="E120" s="14"/>
      <c r="F120" s="4" t="s">
        <v>13</v>
      </c>
      <c r="G120" s="15">
        <v>1.1100000000000001</v>
      </c>
      <c r="H120" s="4">
        <v>2</v>
      </c>
      <c r="I120" s="4" t="s">
        <v>14</v>
      </c>
      <c r="J120" s="15">
        <v>2.2200000000000002</v>
      </c>
      <c r="K120" s="20">
        <v>2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</row>
    <row r="121" spans="1:198" s="16" customFormat="1">
      <c r="A121" s="1">
        <f t="shared" si="1"/>
        <v>120</v>
      </c>
      <c r="B121" s="12">
        <v>130900490</v>
      </c>
      <c r="C121" s="4"/>
      <c r="D121" s="19" t="s">
        <v>170</v>
      </c>
      <c r="E121" s="14"/>
      <c r="F121" s="4" t="s">
        <v>13</v>
      </c>
      <c r="G121" s="15">
        <v>65.53</v>
      </c>
      <c r="H121" s="4">
        <v>1</v>
      </c>
      <c r="I121" s="4" t="s">
        <v>14</v>
      </c>
      <c r="J121" s="15">
        <v>65.53</v>
      </c>
      <c r="K121" s="13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</row>
    <row r="122" spans="1:198" s="16" customFormat="1">
      <c r="A122" s="1">
        <f t="shared" si="1"/>
        <v>121</v>
      </c>
      <c r="B122" s="12">
        <v>130900468</v>
      </c>
      <c r="C122" s="4"/>
      <c r="D122" s="19" t="s">
        <v>171</v>
      </c>
      <c r="E122" s="14"/>
      <c r="F122" s="4" t="s">
        <v>13</v>
      </c>
      <c r="G122" s="15">
        <v>47.47</v>
      </c>
      <c r="H122" s="4">
        <v>7</v>
      </c>
      <c r="I122" s="4" t="s">
        <v>59</v>
      </c>
      <c r="J122" s="15">
        <v>332.29</v>
      </c>
      <c r="K122" s="13">
        <v>6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</row>
    <row r="123" spans="1:198" s="16" customFormat="1">
      <c r="A123" s="1">
        <f t="shared" si="1"/>
        <v>122</v>
      </c>
      <c r="B123" s="12">
        <v>130900503</v>
      </c>
      <c r="C123" s="4"/>
      <c r="D123" s="19" t="s">
        <v>172</v>
      </c>
      <c r="E123" s="14"/>
      <c r="F123" s="4" t="s">
        <v>13</v>
      </c>
      <c r="G123" s="15">
        <v>867.32</v>
      </c>
      <c r="H123" s="4">
        <v>5</v>
      </c>
      <c r="I123" s="4" t="s">
        <v>59</v>
      </c>
      <c r="J123" s="15">
        <v>4336.6000000000004</v>
      </c>
      <c r="K123" s="13">
        <v>4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</row>
    <row r="124" spans="1:198" s="16" customFormat="1">
      <c r="A124" s="1">
        <f t="shared" si="1"/>
        <v>123</v>
      </c>
      <c r="B124" s="12">
        <v>130100568</v>
      </c>
      <c r="C124" s="4"/>
      <c r="D124" s="19" t="s">
        <v>173</v>
      </c>
      <c r="E124" s="14"/>
      <c r="F124" s="4" t="s">
        <v>13</v>
      </c>
      <c r="G124" s="15">
        <v>81.599999999999994</v>
      </c>
      <c r="H124" s="4">
        <v>20</v>
      </c>
      <c r="I124" s="4" t="s">
        <v>14</v>
      </c>
      <c r="J124" s="15">
        <v>1632</v>
      </c>
      <c r="K124" s="13">
        <v>20</v>
      </c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</row>
    <row r="125" spans="1:198" s="16" customFormat="1">
      <c r="A125" s="1">
        <f t="shared" si="1"/>
        <v>124</v>
      </c>
      <c r="B125" s="12">
        <v>130800380</v>
      </c>
      <c r="C125" s="4"/>
      <c r="D125" s="19" t="s">
        <v>174</v>
      </c>
      <c r="E125" s="14"/>
      <c r="F125" s="4" t="s">
        <v>13</v>
      </c>
      <c r="G125" s="15">
        <v>14.76</v>
      </c>
      <c r="H125" s="4">
        <v>50</v>
      </c>
      <c r="I125" s="4" t="s">
        <v>175</v>
      </c>
      <c r="J125" s="15">
        <v>738</v>
      </c>
      <c r="K125" s="13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</row>
    <row r="126" spans="1:198" s="16" customFormat="1">
      <c r="A126" s="1">
        <f t="shared" si="1"/>
        <v>125</v>
      </c>
      <c r="B126" s="12">
        <v>130100154</v>
      </c>
      <c r="C126" s="4"/>
      <c r="D126" s="19" t="s">
        <v>176</v>
      </c>
      <c r="E126" s="14"/>
      <c r="F126" s="4" t="s">
        <v>13</v>
      </c>
      <c r="G126" s="15">
        <v>124.62</v>
      </c>
      <c r="H126" s="4">
        <v>20</v>
      </c>
      <c r="I126" s="4" t="s">
        <v>14</v>
      </c>
      <c r="J126" s="15">
        <v>2492.4</v>
      </c>
      <c r="K126" s="13">
        <v>19</v>
      </c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</row>
    <row r="127" spans="1:198" s="16" customFormat="1">
      <c r="A127" s="1">
        <f t="shared" si="1"/>
        <v>126</v>
      </c>
      <c r="B127" s="12">
        <v>130800419</v>
      </c>
      <c r="C127" s="4"/>
      <c r="D127" s="19" t="s">
        <v>177</v>
      </c>
      <c r="E127" s="14"/>
      <c r="F127" s="4" t="s">
        <v>13</v>
      </c>
      <c r="G127" s="15">
        <v>236.24</v>
      </c>
      <c r="H127" s="4">
        <v>6</v>
      </c>
      <c r="I127" s="4" t="s">
        <v>59</v>
      </c>
      <c r="J127" s="15">
        <v>1889.92</v>
      </c>
      <c r="K127" s="13">
        <v>6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</row>
    <row r="128" spans="1:198" s="16" customFormat="1">
      <c r="A128" s="1">
        <f t="shared" si="1"/>
        <v>127</v>
      </c>
      <c r="B128" s="12">
        <v>130900467</v>
      </c>
      <c r="C128" s="4"/>
      <c r="D128" s="19" t="s">
        <v>178</v>
      </c>
      <c r="E128" s="14"/>
      <c r="F128" s="4" t="s">
        <v>13</v>
      </c>
      <c r="G128" s="15">
        <v>190.6</v>
      </c>
      <c r="H128" s="4">
        <v>8</v>
      </c>
      <c r="I128" s="4" t="s">
        <v>14</v>
      </c>
      <c r="J128" s="15">
        <v>1524.8</v>
      </c>
      <c r="K128" s="13">
        <v>8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</row>
    <row r="129" spans="1:198" s="16" customFormat="1">
      <c r="A129" s="1">
        <f t="shared" si="1"/>
        <v>128</v>
      </c>
      <c r="B129" s="12">
        <v>130401190</v>
      </c>
      <c r="C129" s="4"/>
      <c r="D129" s="19" t="s">
        <v>179</v>
      </c>
      <c r="E129" s="14"/>
      <c r="F129" s="4" t="s">
        <v>13</v>
      </c>
      <c r="G129" s="15">
        <v>234.64</v>
      </c>
      <c r="H129" s="4">
        <v>9</v>
      </c>
      <c r="I129" s="4" t="s">
        <v>59</v>
      </c>
      <c r="J129" s="15">
        <v>2111.7600000000002</v>
      </c>
      <c r="K129" s="13">
        <v>9</v>
      </c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</row>
    <row r="130" spans="1:198" s="16" customFormat="1">
      <c r="A130" s="1">
        <f t="shared" ref="A130:A193" si="2">ROW()-1</f>
        <v>129</v>
      </c>
      <c r="B130" s="12">
        <v>130900501</v>
      </c>
      <c r="C130" s="4"/>
      <c r="D130" s="19" t="s">
        <v>180</v>
      </c>
      <c r="E130" s="14"/>
      <c r="F130" s="4" t="s">
        <v>13</v>
      </c>
      <c r="G130" s="15">
        <v>171.08</v>
      </c>
      <c r="H130" s="4">
        <v>1</v>
      </c>
      <c r="I130" s="4" t="s">
        <v>59</v>
      </c>
      <c r="J130" s="15">
        <v>171.08</v>
      </c>
      <c r="K130" s="13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</row>
    <row r="131" spans="1:198" s="16" customFormat="1">
      <c r="A131" s="1">
        <f t="shared" si="2"/>
        <v>130</v>
      </c>
      <c r="B131" s="12">
        <v>171000726</v>
      </c>
      <c r="C131" s="4"/>
      <c r="D131" s="19" t="s">
        <v>181</v>
      </c>
      <c r="E131" s="14"/>
      <c r="F131" s="4" t="s">
        <v>13</v>
      </c>
      <c r="G131" s="15">
        <v>0.62</v>
      </c>
      <c r="H131" s="4">
        <v>400</v>
      </c>
      <c r="I131" s="4" t="s">
        <v>144</v>
      </c>
      <c r="J131" s="15">
        <v>248</v>
      </c>
      <c r="K131" s="13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</row>
    <row r="132" spans="1:198" s="16" customFormat="1">
      <c r="A132" s="1">
        <f t="shared" si="2"/>
        <v>131</v>
      </c>
      <c r="B132" s="12">
        <v>171000729</v>
      </c>
      <c r="C132" s="4"/>
      <c r="D132" s="19" t="s">
        <v>182</v>
      </c>
      <c r="E132" s="14"/>
      <c r="F132" s="4" t="s">
        <v>13</v>
      </c>
      <c r="G132" s="15">
        <v>0.34</v>
      </c>
      <c r="H132" s="4">
        <v>500</v>
      </c>
      <c r="I132" s="4" t="s">
        <v>144</v>
      </c>
      <c r="J132" s="15">
        <v>170</v>
      </c>
      <c r="K132" s="13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</row>
    <row r="133" spans="1:198" s="16" customFormat="1">
      <c r="A133" s="1">
        <f t="shared" si="2"/>
        <v>132</v>
      </c>
      <c r="B133" s="12">
        <v>171000728</v>
      </c>
      <c r="C133" s="4"/>
      <c r="D133" s="19" t="s">
        <v>183</v>
      </c>
      <c r="E133" s="14"/>
      <c r="F133" s="4" t="s">
        <v>13</v>
      </c>
      <c r="G133" s="15">
        <v>0.19</v>
      </c>
      <c r="H133" s="4">
        <v>300</v>
      </c>
      <c r="I133" s="4" t="s">
        <v>144</v>
      </c>
      <c r="J133" s="15">
        <v>57</v>
      </c>
      <c r="K133" s="1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</row>
    <row r="134" spans="1:198" s="16" customFormat="1">
      <c r="A134" s="1">
        <f t="shared" si="2"/>
        <v>133</v>
      </c>
      <c r="B134" s="12">
        <v>130900516</v>
      </c>
      <c r="C134" s="4"/>
      <c r="D134" s="19" t="s">
        <v>184</v>
      </c>
      <c r="E134" s="14"/>
      <c r="F134" s="4" t="s">
        <v>13</v>
      </c>
      <c r="G134" s="15">
        <v>0.56999999999999995</v>
      </c>
      <c r="H134" s="4">
        <v>4850</v>
      </c>
      <c r="I134" s="4" t="s">
        <v>14</v>
      </c>
      <c r="J134" s="15">
        <v>28.5</v>
      </c>
      <c r="K134" s="13">
        <v>4800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</row>
    <row r="135" spans="1:198" s="16" customFormat="1">
      <c r="A135" s="1">
        <f t="shared" si="2"/>
        <v>134</v>
      </c>
      <c r="B135" s="12">
        <v>140200554</v>
      </c>
      <c r="C135" s="4"/>
      <c r="D135" s="19" t="s">
        <v>185</v>
      </c>
      <c r="E135" s="14"/>
      <c r="F135" s="4" t="s">
        <v>13</v>
      </c>
      <c r="G135" s="15" t="s">
        <v>149</v>
      </c>
      <c r="H135" s="4">
        <v>521</v>
      </c>
      <c r="I135" s="4" t="s">
        <v>14</v>
      </c>
      <c r="J135" s="15"/>
      <c r="K135" s="13">
        <v>478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</row>
    <row r="136" spans="1:198" s="16" customFormat="1">
      <c r="A136" s="1">
        <f t="shared" si="2"/>
        <v>135</v>
      </c>
      <c r="B136" s="12">
        <v>40135564</v>
      </c>
      <c r="C136" s="4"/>
      <c r="D136" s="19" t="s">
        <v>186</v>
      </c>
      <c r="E136" s="14"/>
      <c r="F136" s="4" t="s">
        <v>13</v>
      </c>
      <c r="G136" s="15">
        <v>81.45</v>
      </c>
      <c r="H136" s="4">
        <v>59</v>
      </c>
      <c r="I136" s="4" t="s">
        <v>187</v>
      </c>
      <c r="J136" s="15">
        <v>5131.3500000000004</v>
      </c>
      <c r="K136" s="13">
        <v>47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</row>
    <row r="137" spans="1:198" s="16" customFormat="1">
      <c r="A137" s="1">
        <f t="shared" si="2"/>
        <v>136</v>
      </c>
      <c r="B137" s="12">
        <v>40159622</v>
      </c>
      <c r="C137" s="4"/>
      <c r="D137" s="19" t="s">
        <v>188</v>
      </c>
      <c r="E137" s="14"/>
      <c r="F137" s="4" t="s">
        <v>13</v>
      </c>
      <c r="G137" s="15">
        <v>87.66</v>
      </c>
      <c r="H137" s="4">
        <v>212</v>
      </c>
      <c r="I137" s="4" t="s">
        <v>187</v>
      </c>
      <c r="J137" s="15">
        <v>19285.2</v>
      </c>
      <c r="K137" s="13">
        <v>212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</row>
    <row r="138" spans="1:198" s="16" customFormat="1">
      <c r="A138" s="1">
        <f t="shared" si="2"/>
        <v>137</v>
      </c>
      <c r="B138" s="12" t="s">
        <v>189</v>
      </c>
      <c r="C138" s="4"/>
      <c r="D138" s="19" t="s">
        <v>190</v>
      </c>
      <c r="E138" s="14"/>
      <c r="F138" s="4" t="s">
        <v>13</v>
      </c>
      <c r="G138" s="15" t="s">
        <v>149</v>
      </c>
      <c r="H138" s="4">
        <v>1</v>
      </c>
      <c r="I138" s="4" t="s">
        <v>14</v>
      </c>
      <c r="J138" s="15"/>
      <c r="K138" s="13">
        <v>1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</row>
    <row r="139" spans="1:198" s="16" customFormat="1">
      <c r="A139" s="1">
        <f t="shared" si="2"/>
        <v>138</v>
      </c>
      <c r="B139" s="12">
        <v>40695761</v>
      </c>
      <c r="C139" s="4"/>
      <c r="D139" s="19" t="s">
        <v>191</v>
      </c>
      <c r="E139" s="14"/>
      <c r="F139" s="4" t="s">
        <v>13</v>
      </c>
      <c r="G139" s="15">
        <v>3808.51</v>
      </c>
      <c r="H139" s="4">
        <v>1</v>
      </c>
      <c r="I139" s="4" t="s">
        <v>59</v>
      </c>
      <c r="J139" s="15">
        <v>3808.51</v>
      </c>
      <c r="K139" s="13">
        <v>1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</row>
    <row r="140" spans="1:198" s="16" customFormat="1">
      <c r="A140" s="1">
        <f t="shared" si="2"/>
        <v>139</v>
      </c>
      <c r="B140" s="12">
        <v>171002090</v>
      </c>
      <c r="C140" s="4"/>
      <c r="D140" s="19" t="s">
        <v>192</v>
      </c>
      <c r="E140" s="14"/>
      <c r="F140" s="4" t="s">
        <v>13</v>
      </c>
      <c r="G140" s="15">
        <v>2.76</v>
      </c>
      <c r="H140" s="4">
        <v>10</v>
      </c>
      <c r="I140" s="4" t="s">
        <v>14</v>
      </c>
      <c r="J140" s="15">
        <v>27.6</v>
      </c>
      <c r="K140" s="13">
        <v>10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</row>
    <row r="141" spans="1:198" s="16" customFormat="1">
      <c r="A141" s="1">
        <f t="shared" si="2"/>
        <v>140</v>
      </c>
      <c r="B141" s="12">
        <v>171000043</v>
      </c>
      <c r="C141" s="4"/>
      <c r="D141" s="19" t="s">
        <v>193</v>
      </c>
      <c r="E141" s="14"/>
      <c r="F141" s="4" t="s">
        <v>13</v>
      </c>
      <c r="G141" s="15">
        <v>2.92</v>
      </c>
      <c r="H141" s="4">
        <v>30</v>
      </c>
      <c r="I141" s="4" t="s">
        <v>14</v>
      </c>
      <c r="J141" s="15">
        <v>87.6</v>
      </c>
      <c r="K141" s="13">
        <v>30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</row>
    <row r="142" spans="1:198" s="16" customFormat="1">
      <c r="A142" s="1">
        <f t="shared" si="2"/>
        <v>141</v>
      </c>
      <c r="B142" s="12">
        <v>171002116</v>
      </c>
      <c r="C142" s="4"/>
      <c r="D142" s="19" t="s">
        <v>194</v>
      </c>
      <c r="E142" s="14"/>
      <c r="F142" s="4" t="s">
        <v>13</v>
      </c>
      <c r="G142" s="15">
        <v>4.6100000000000003</v>
      </c>
      <c r="H142" s="4">
        <v>11</v>
      </c>
      <c r="I142" s="4" t="s">
        <v>14</v>
      </c>
      <c r="J142" s="15">
        <v>46.1</v>
      </c>
      <c r="K142" s="13">
        <v>11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</row>
    <row r="143" spans="1:198" s="16" customFormat="1">
      <c r="A143" s="1">
        <f t="shared" si="2"/>
        <v>142</v>
      </c>
      <c r="B143" s="12">
        <v>171002115</v>
      </c>
      <c r="C143" s="4"/>
      <c r="D143" s="19" t="s">
        <v>195</v>
      </c>
      <c r="E143" s="14"/>
      <c r="F143" s="4" t="s">
        <v>13</v>
      </c>
      <c r="G143" s="15">
        <v>7.63</v>
      </c>
      <c r="H143" s="4">
        <v>20</v>
      </c>
      <c r="I143" s="4" t="s">
        <v>14</v>
      </c>
      <c r="J143" s="15">
        <v>152.6</v>
      </c>
      <c r="K143" s="13">
        <v>20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</row>
    <row r="144" spans="1:198" s="16" customFormat="1">
      <c r="A144" s="1">
        <f t="shared" si="2"/>
        <v>143</v>
      </c>
      <c r="B144" s="12">
        <v>171002091</v>
      </c>
      <c r="C144" s="4"/>
      <c r="D144" s="19" t="s">
        <v>196</v>
      </c>
      <c r="E144" s="14"/>
      <c r="F144" s="4" t="s">
        <v>13</v>
      </c>
      <c r="G144" s="15">
        <v>1.68</v>
      </c>
      <c r="H144" s="4">
        <v>10</v>
      </c>
      <c r="I144" s="4" t="s">
        <v>14</v>
      </c>
      <c r="J144" s="15">
        <v>16.8</v>
      </c>
      <c r="K144" s="13">
        <v>10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</row>
    <row r="145" spans="1:198" s="16" customFormat="1">
      <c r="A145" s="1">
        <f t="shared" si="2"/>
        <v>144</v>
      </c>
      <c r="B145" s="12">
        <v>140100262</v>
      </c>
      <c r="C145" s="4"/>
      <c r="D145" s="19" t="s">
        <v>197</v>
      </c>
      <c r="E145" s="14"/>
      <c r="F145" s="4" t="s">
        <v>13</v>
      </c>
      <c r="G145" s="15">
        <v>7.45</v>
      </c>
      <c r="H145" s="4">
        <v>30</v>
      </c>
      <c r="I145" s="4" t="s">
        <v>59</v>
      </c>
      <c r="J145" s="15">
        <v>223.5</v>
      </c>
      <c r="K145" s="13">
        <v>30</v>
      </c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</row>
    <row r="146" spans="1:198" s="16" customFormat="1">
      <c r="A146" s="1">
        <f t="shared" si="2"/>
        <v>145</v>
      </c>
      <c r="B146" s="12">
        <v>140100262</v>
      </c>
      <c r="C146" s="4"/>
      <c r="D146" s="19" t="s">
        <v>197</v>
      </c>
      <c r="E146" s="14"/>
      <c r="F146" s="4" t="s">
        <v>13</v>
      </c>
      <c r="G146" s="15">
        <v>7.45</v>
      </c>
      <c r="H146" s="4">
        <v>29</v>
      </c>
      <c r="I146" s="4" t="s">
        <v>59</v>
      </c>
      <c r="J146" s="15">
        <v>216.05</v>
      </c>
      <c r="K146" s="13">
        <v>29</v>
      </c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</row>
    <row r="147" spans="1:198" s="16" customFormat="1">
      <c r="A147" s="1">
        <f t="shared" si="2"/>
        <v>146</v>
      </c>
      <c r="B147" s="12">
        <v>140100262</v>
      </c>
      <c r="C147" s="4"/>
      <c r="D147" s="19" t="s">
        <v>197</v>
      </c>
      <c r="E147" s="14"/>
      <c r="F147" s="4" t="s">
        <v>13</v>
      </c>
      <c r="G147" s="15">
        <v>7.45</v>
      </c>
      <c r="H147" s="4">
        <v>29</v>
      </c>
      <c r="I147" s="4" t="s">
        <v>59</v>
      </c>
      <c r="J147" s="15">
        <v>216.05</v>
      </c>
      <c r="K147" s="13">
        <v>29</v>
      </c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</row>
    <row r="148" spans="1:198" s="16" customFormat="1">
      <c r="A148" s="1">
        <f t="shared" si="2"/>
        <v>147</v>
      </c>
      <c r="B148" s="12">
        <v>40724969</v>
      </c>
      <c r="C148" s="4"/>
      <c r="D148" s="19" t="s">
        <v>198</v>
      </c>
      <c r="E148" s="14"/>
      <c r="F148" s="4" t="s">
        <v>13</v>
      </c>
      <c r="G148" s="15">
        <v>1550.42</v>
      </c>
      <c r="H148" s="4">
        <v>14</v>
      </c>
      <c r="I148" s="4" t="s">
        <v>14</v>
      </c>
      <c r="J148" s="15">
        <v>21705.88</v>
      </c>
      <c r="K148" s="13">
        <v>14</v>
      </c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</row>
    <row r="149" spans="1:198" s="16" customFormat="1">
      <c r="A149" s="1">
        <f t="shared" si="2"/>
        <v>148</v>
      </c>
      <c r="B149" s="12">
        <v>171002038</v>
      </c>
      <c r="C149" s="4"/>
      <c r="D149" s="19" t="s">
        <v>199</v>
      </c>
      <c r="E149" s="14"/>
      <c r="F149" s="4" t="s">
        <v>13</v>
      </c>
      <c r="G149" s="15">
        <v>16.079999999999998</v>
      </c>
      <c r="H149" s="4">
        <v>10</v>
      </c>
      <c r="I149" s="4" t="s">
        <v>14</v>
      </c>
      <c r="J149" s="15">
        <v>160.80000000000001</v>
      </c>
      <c r="K149" s="13">
        <v>10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</row>
    <row r="150" spans="1:198" s="16" customFormat="1">
      <c r="A150" s="1">
        <f t="shared" si="2"/>
        <v>149</v>
      </c>
      <c r="B150" s="12">
        <v>171002031</v>
      </c>
      <c r="C150" s="4"/>
      <c r="D150" s="19" t="s">
        <v>200</v>
      </c>
      <c r="E150" s="14"/>
      <c r="F150" s="4" t="s">
        <v>13</v>
      </c>
      <c r="G150" s="15">
        <v>32.17</v>
      </c>
      <c r="H150" s="4">
        <v>10</v>
      </c>
      <c r="I150" s="4" t="s">
        <v>14</v>
      </c>
      <c r="J150" s="15">
        <v>321.7</v>
      </c>
      <c r="K150" s="13">
        <v>10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</row>
    <row r="151" spans="1:198" s="16" customFormat="1">
      <c r="A151" s="1">
        <f t="shared" si="2"/>
        <v>150</v>
      </c>
      <c r="B151" s="12">
        <v>171002095</v>
      </c>
      <c r="C151" s="4"/>
      <c r="D151" s="19" t="s">
        <v>201</v>
      </c>
      <c r="E151" s="14"/>
      <c r="F151" s="4" t="s">
        <v>13</v>
      </c>
      <c r="G151" s="15">
        <v>51.95</v>
      </c>
      <c r="H151" s="4">
        <v>5</v>
      </c>
      <c r="I151" s="4" t="s">
        <v>14</v>
      </c>
      <c r="J151" s="15">
        <v>259.75</v>
      </c>
      <c r="K151" s="13">
        <v>5</v>
      </c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</row>
    <row r="152" spans="1:198" s="16" customFormat="1">
      <c r="A152" s="1">
        <f t="shared" si="2"/>
        <v>151</v>
      </c>
      <c r="B152" s="12">
        <v>171002035</v>
      </c>
      <c r="C152" s="4"/>
      <c r="D152" s="19" t="s">
        <v>202</v>
      </c>
      <c r="E152" s="14"/>
      <c r="F152" s="4" t="s">
        <v>13</v>
      </c>
      <c r="G152" s="15">
        <v>2.5099999999999998</v>
      </c>
      <c r="H152" s="4">
        <v>15</v>
      </c>
      <c r="I152" s="4" t="s">
        <v>14</v>
      </c>
      <c r="J152" s="15">
        <v>37.65</v>
      </c>
      <c r="K152" s="13">
        <v>15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</row>
    <row r="153" spans="1:198" s="16" customFormat="1">
      <c r="A153" s="1">
        <f t="shared" si="2"/>
        <v>152</v>
      </c>
      <c r="B153" s="12">
        <v>171002098</v>
      </c>
      <c r="C153" s="4"/>
      <c r="D153" s="19" t="s">
        <v>203</v>
      </c>
      <c r="E153" s="14"/>
      <c r="F153" s="4" t="s">
        <v>13</v>
      </c>
      <c r="G153" s="15">
        <v>44.46</v>
      </c>
      <c r="H153" s="4">
        <v>5</v>
      </c>
      <c r="I153" s="4" t="s">
        <v>14</v>
      </c>
      <c r="J153" s="15">
        <v>222.3</v>
      </c>
      <c r="K153" s="13">
        <v>5</v>
      </c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</row>
    <row r="154" spans="1:198" s="16" customFormat="1">
      <c r="A154" s="1">
        <f t="shared" si="2"/>
        <v>153</v>
      </c>
      <c r="B154" s="12">
        <v>171002097</v>
      </c>
      <c r="C154" s="4"/>
      <c r="D154" s="19" t="s">
        <v>204</v>
      </c>
      <c r="E154" s="14"/>
      <c r="F154" s="4" t="s">
        <v>13</v>
      </c>
      <c r="G154" s="15">
        <v>43.92</v>
      </c>
      <c r="H154" s="4">
        <v>5</v>
      </c>
      <c r="I154" s="4" t="s">
        <v>14</v>
      </c>
      <c r="J154" s="15">
        <v>219.6</v>
      </c>
      <c r="K154" s="13">
        <v>5</v>
      </c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</row>
    <row r="155" spans="1:198" s="16" customFormat="1">
      <c r="A155" s="1">
        <f t="shared" si="2"/>
        <v>154</v>
      </c>
      <c r="B155" s="12">
        <v>171002096</v>
      </c>
      <c r="C155" s="4"/>
      <c r="D155" s="19" t="s">
        <v>205</v>
      </c>
      <c r="E155" s="14"/>
      <c r="F155" s="4" t="s">
        <v>13</v>
      </c>
      <c r="G155" s="15">
        <v>39.11</v>
      </c>
      <c r="H155" s="4">
        <v>5</v>
      </c>
      <c r="I155" s="4" t="s">
        <v>14</v>
      </c>
      <c r="J155" s="15">
        <v>195.55</v>
      </c>
      <c r="K155" s="13">
        <v>5</v>
      </c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</row>
    <row r="156" spans="1:198" s="16" customFormat="1">
      <c r="A156" s="1">
        <f t="shared" si="2"/>
        <v>155</v>
      </c>
      <c r="B156" s="12">
        <v>171002099</v>
      </c>
      <c r="C156" s="4"/>
      <c r="D156" s="19" t="s">
        <v>206</v>
      </c>
      <c r="E156" s="14"/>
      <c r="F156" s="4" t="s">
        <v>13</v>
      </c>
      <c r="G156" s="15">
        <v>28.78</v>
      </c>
      <c r="H156" s="4">
        <v>5</v>
      </c>
      <c r="I156" s="4" t="s">
        <v>14</v>
      </c>
      <c r="J156" s="15">
        <v>143.9</v>
      </c>
      <c r="K156" s="13">
        <v>5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</row>
    <row r="157" spans="1:198" s="16" customFormat="1">
      <c r="A157" s="1">
        <f t="shared" si="2"/>
        <v>156</v>
      </c>
      <c r="B157" s="12">
        <v>17002080</v>
      </c>
      <c r="C157" s="4"/>
      <c r="D157" s="19"/>
      <c r="E157" s="14"/>
      <c r="F157" s="4" t="s">
        <v>13</v>
      </c>
      <c r="G157" s="15" t="s">
        <v>149</v>
      </c>
      <c r="H157" s="4">
        <v>20</v>
      </c>
      <c r="I157" s="4" t="s">
        <v>14</v>
      </c>
      <c r="J157" s="15"/>
      <c r="K157" s="13">
        <v>20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</row>
    <row r="158" spans="1:198" s="16" customFormat="1">
      <c r="A158" s="1">
        <f t="shared" si="2"/>
        <v>157</v>
      </c>
      <c r="B158" s="12">
        <v>171002034</v>
      </c>
      <c r="C158" s="4"/>
      <c r="D158" s="19" t="s">
        <v>207</v>
      </c>
      <c r="E158" s="14"/>
      <c r="F158" s="4" t="s">
        <v>13</v>
      </c>
      <c r="G158" s="15">
        <v>1.71</v>
      </c>
      <c r="H158" s="4">
        <v>15</v>
      </c>
      <c r="I158" s="4" t="s">
        <v>14</v>
      </c>
      <c r="J158" s="15">
        <v>25.65</v>
      </c>
      <c r="K158" s="13">
        <v>15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</row>
    <row r="159" spans="1:198" s="16" customFormat="1">
      <c r="A159" s="1">
        <f t="shared" si="2"/>
        <v>158</v>
      </c>
      <c r="B159" s="12">
        <v>171002036</v>
      </c>
      <c r="C159" s="4"/>
      <c r="D159" s="19" t="s">
        <v>208</v>
      </c>
      <c r="E159" s="14"/>
      <c r="F159" s="4" t="s">
        <v>13</v>
      </c>
      <c r="G159" s="15">
        <v>4.5199999999999996</v>
      </c>
      <c r="H159" s="4">
        <v>10</v>
      </c>
      <c r="I159" s="4" t="s">
        <v>14</v>
      </c>
      <c r="J159" s="15">
        <v>45.2</v>
      </c>
      <c r="K159" s="13">
        <v>10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</row>
    <row r="160" spans="1:198" s="16" customFormat="1">
      <c r="A160" s="1">
        <f t="shared" si="2"/>
        <v>159</v>
      </c>
      <c r="B160" s="12">
        <v>171002032</v>
      </c>
      <c r="C160" s="4"/>
      <c r="D160" s="19" t="s">
        <v>209</v>
      </c>
      <c r="E160" s="14"/>
      <c r="F160" s="4" t="s">
        <v>13</v>
      </c>
      <c r="G160" s="15">
        <v>0.7</v>
      </c>
      <c r="H160" s="4">
        <v>40</v>
      </c>
      <c r="I160" s="4" t="s">
        <v>14</v>
      </c>
      <c r="J160" s="15">
        <v>28</v>
      </c>
      <c r="K160" s="13">
        <v>40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</row>
    <row r="161" spans="1:198" s="16" customFormat="1">
      <c r="A161" s="1">
        <f t="shared" si="2"/>
        <v>160</v>
      </c>
      <c r="B161" s="12">
        <v>171002033</v>
      </c>
      <c r="C161" s="4"/>
      <c r="D161" s="19" t="s">
        <v>210</v>
      </c>
      <c r="E161" s="14"/>
      <c r="F161" s="4" t="s">
        <v>13</v>
      </c>
      <c r="G161" s="15">
        <v>1.05</v>
      </c>
      <c r="H161" s="4">
        <v>20</v>
      </c>
      <c r="I161" s="4" t="s">
        <v>14</v>
      </c>
      <c r="J161" s="15">
        <v>21</v>
      </c>
      <c r="K161" s="13">
        <v>20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</row>
    <row r="162" spans="1:198" s="16" customFormat="1">
      <c r="A162" s="1">
        <f t="shared" si="2"/>
        <v>161</v>
      </c>
      <c r="B162" s="12">
        <v>171002131</v>
      </c>
      <c r="C162" s="4"/>
      <c r="D162" s="19"/>
      <c r="E162" s="14"/>
      <c r="F162" s="4" t="s">
        <v>13</v>
      </c>
      <c r="G162" s="15" t="s">
        <v>149</v>
      </c>
      <c r="H162" s="4">
        <v>5</v>
      </c>
      <c r="I162" s="4" t="s">
        <v>14</v>
      </c>
      <c r="J162" s="15"/>
      <c r="K162" s="13">
        <v>5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</row>
    <row r="163" spans="1:198" s="16" customFormat="1">
      <c r="A163" s="1">
        <f t="shared" si="2"/>
        <v>162</v>
      </c>
      <c r="B163" s="12">
        <v>171002119</v>
      </c>
      <c r="C163" s="4"/>
      <c r="D163" s="19" t="s">
        <v>211</v>
      </c>
      <c r="E163" s="14"/>
      <c r="F163" s="4" t="s">
        <v>13</v>
      </c>
      <c r="G163" s="15">
        <v>0.64</v>
      </c>
      <c r="H163" s="4">
        <v>40</v>
      </c>
      <c r="I163" s="4" t="s">
        <v>14</v>
      </c>
      <c r="J163" s="15">
        <v>25.6</v>
      </c>
      <c r="K163" s="13">
        <v>40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</row>
    <row r="164" spans="1:198" s="16" customFormat="1">
      <c r="A164" s="1">
        <f t="shared" si="2"/>
        <v>163</v>
      </c>
      <c r="B164" s="12">
        <v>171002108</v>
      </c>
      <c r="C164" s="4"/>
      <c r="D164" s="19" t="s">
        <v>212</v>
      </c>
      <c r="E164" s="14"/>
      <c r="F164" s="4" t="s">
        <v>13</v>
      </c>
      <c r="G164" s="15">
        <v>0.48</v>
      </c>
      <c r="H164" s="4">
        <v>5</v>
      </c>
      <c r="I164" s="4" t="s">
        <v>14</v>
      </c>
      <c r="J164" s="15">
        <v>2.4</v>
      </c>
      <c r="K164" s="13">
        <v>5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</row>
    <row r="165" spans="1:198" s="16" customFormat="1">
      <c r="A165" s="1">
        <f t="shared" si="2"/>
        <v>164</v>
      </c>
      <c r="B165" s="12">
        <v>171002112</v>
      </c>
      <c r="C165" s="4"/>
      <c r="D165" s="19" t="s">
        <v>213</v>
      </c>
      <c r="E165" s="14"/>
      <c r="F165" s="4" t="s">
        <v>13</v>
      </c>
      <c r="G165" s="15">
        <v>0.55000000000000004</v>
      </c>
      <c r="H165" s="4">
        <v>5</v>
      </c>
      <c r="I165" s="4" t="s">
        <v>14</v>
      </c>
      <c r="J165" s="15">
        <v>2.75</v>
      </c>
      <c r="K165" s="13">
        <v>3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</row>
    <row r="166" spans="1:198" s="16" customFormat="1">
      <c r="A166" s="1">
        <f t="shared" si="2"/>
        <v>165</v>
      </c>
      <c r="B166" s="12">
        <v>171002110</v>
      </c>
      <c r="C166" s="4"/>
      <c r="D166" s="19" t="s">
        <v>214</v>
      </c>
      <c r="E166" s="14"/>
      <c r="F166" s="4" t="s">
        <v>13</v>
      </c>
      <c r="G166" s="15">
        <v>0.55000000000000004</v>
      </c>
      <c r="H166" s="4">
        <v>5</v>
      </c>
      <c r="I166" s="4" t="s">
        <v>14</v>
      </c>
      <c r="J166" s="15">
        <v>2.75</v>
      </c>
      <c r="K166" s="13">
        <v>5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</row>
    <row r="167" spans="1:198" s="16" customFormat="1">
      <c r="A167" s="1">
        <f t="shared" si="2"/>
        <v>166</v>
      </c>
      <c r="B167" s="12">
        <v>171002106</v>
      </c>
      <c r="C167" s="4"/>
      <c r="D167" s="19" t="s">
        <v>215</v>
      </c>
      <c r="E167" s="14"/>
      <c r="F167" s="4" t="s">
        <v>13</v>
      </c>
      <c r="G167" s="15">
        <v>0.84</v>
      </c>
      <c r="H167" s="4">
        <v>10</v>
      </c>
      <c r="I167" s="4" t="s">
        <v>14</v>
      </c>
      <c r="J167" s="15">
        <v>8.4</v>
      </c>
      <c r="K167" s="13">
        <v>10</v>
      </c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</row>
    <row r="168" spans="1:198" s="16" customFormat="1">
      <c r="A168" s="1">
        <f t="shared" si="2"/>
        <v>167</v>
      </c>
      <c r="B168" s="12">
        <v>171002109</v>
      </c>
      <c r="C168" s="4"/>
      <c r="D168" s="19" t="s">
        <v>217</v>
      </c>
      <c r="E168" s="14"/>
      <c r="F168" s="4" t="s">
        <v>13</v>
      </c>
      <c r="G168" s="15">
        <v>6.64</v>
      </c>
      <c r="H168" s="4">
        <v>5</v>
      </c>
      <c r="I168" s="4" t="s">
        <v>14</v>
      </c>
      <c r="J168" s="15">
        <v>33.200000000000003</v>
      </c>
      <c r="K168" s="13">
        <v>5</v>
      </c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</row>
    <row r="169" spans="1:198" s="16" customFormat="1">
      <c r="A169" s="1">
        <f t="shared" si="2"/>
        <v>168</v>
      </c>
      <c r="B169" s="12">
        <v>171002118</v>
      </c>
      <c r="C169" s="4"/>
      <c r="D169" s="19" t="s">
        <v>218</v>
      </c>
      <c r="E169" s="14"/>
      <c r="F169" s="4" t="s">
        <v>13</v>
      </c>
      <c r="G169" s="15">
        <v>0.88</v>
      </c>
      <c r="H169" s="4">
        <v>40</v>
      </c>
      <c r="I169" s="4" t="s">
        <v>14</v>
      </c>
      <c r="J169" s="15">
        <v>35.200000000000003</v>
      </c>
      <c r="K169" s="13">
        <v>40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</row>
    <row r="170" spans="1:198" s="16" customFormat="1">
      <c r="A170" s="1">
        <f t="shared" si="2"/>
        <v>169</v>
      </c>
      <c r="B170" s="12">
        <v>171002134</v>
      </c>
      <c r="C170" s="4"/>
      <c r="D170" s="19" t="s">
        <v>219</v>
      </c>
      <c r="E170" s="14"/>
      <c r="F170" s="4" t="s">
        <v>13</v>
      </c>
      <c r="G170" s="15">
        <v>2.02</v>
      </c>
      <c r="H170" s="4">
        <v>10</v>
      </c>
      <c r="I170" s="4" t="s">
        <v>14</v>
      </c>
      <c r="J170" s="15">
        <v>20.2</v>
      </c>
      <c r="K170" s="13">
        <v>10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</row>
    <row r="171" spans="1:198" s="16" customFormat="1">
      <c r="A171" s="1">
        <f t="shared" si="2"/>
        <v>170</v>
      </c>
      <c r="B171" s="12">
        <v>171002135</v>
      </c>
      <c r="C171" s="4"/>
      <c r="D171" s="19" t="s">
        <v>216</v>
      </c>
      <c r="E171" s="14"/>
      <c r="F171" s="4" t="s">
        <v>13</v>
      </c>
      <c r="G171" s="15">
        <v>1.3</v>
      </c>
      <c r="H171" s="4">
        <v>10</v>
      </c>
      <c r="I171" s="4" t="s">
        <v>14</v>
      </c>
      <c r="J171" s="15">
        <v>13</v>
      </c>
      <c r="K171" s="13">
        <v>10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</row>
    <row r="172" spans="1:198" s="16" customFormat="1">
      <c r="A172" s="1">
        <f t="shared" si="2"/>
        <v>171</v>
      </c>
      <c r="B172" s="12">
        <v>171002137</v>
      </c>
      <c r="C172" s="4"/>
      <c r="D172" s="19" t="s">
        <v>220</v>
      </c>
      <c r="E172" s="14"/>
      <c r="F172" s="4" t="s">
        <v>13</v>
      </c>
      <c r="G172" s="15">
        <v>0.12</v>
      </c>
      <c r="H172" s="4">
        <v>20</v>
      </c>
      <c r="I172" s="4" t="s">
        <v>14</v>
      </c>
      <c r="J172" s="15">
        <v>2.4</v>
      </c>
      <c r="K172" s="13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</row>
    <row r="173" spans="1:198" s="16" customFormat="1">
      <c r="A173" s="1">
        <f t="shared" si="2"/>
        <v>172</v>
      </c>
      <c r="B173" s="12">
        <v>171002082</v>
      </c>
      <c r="C173" s="4"/>
      <c r="D173" s="19" t="s">
        <v>221</v>
      </c>
      <c r="E173" s="14"/>
      <c r="F173" s="4" t="s">
        <v>13</v>
      </c>
      <c r="G173" s="15">
        <v>2.39</v>
      </c>
      <c r="H173" s="4">
        <v>20</v>
      </c>
      <c r="I173" s="4" t="s">
        <v>14</v>
      </c>
      <c r="J173" s="15">
        <v>47.8</v>
      </c>
      <c r="K173" s="1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</row>
    <row r="174" spans="1:198" s="16" customFormat="1">
      <c r="A174" s="1">
        <f t="shared" si="2"/>
        <v>173</v>
      </c>
      <c r="B174" s="12">
        <v>171002104</v>
      </c>
      <c r="C174" s="4"/>
      <c r="D174" s="19" t="s">
        <v>222</v>
      </c>
      <c r="E174" s="14"/>
      <c r="F174" s="4" t="s">
        <v>13</v>
      </c>
      <c r="G174" s="15">
        <v>1.85</v>
      </c>
      <c r="H174" s="4">
        <v>5</v>
      </c>
      <c r="I174" s="4" t="s">
        <v>14</v>
      </c>
      <c r="J174" s="15">
        <v>9.25</v>
      </c>
      <c r="K174" s="13">
        <v>4</v>
      </c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</row>
    <row r="175" spans="1:198" s="16" customFormat="1">
      <c r="A175" s="1">
        <f t="shared" si="2"/>
        <v>174</v>
      </c>
      <c r="B175" s="12">
        <v>171002093</v>
      </c>
      <c r="C175" s="4"/>
      <c r="D175" s="19" t="s">
        <v>223</v>
      </c>
      <c r="E175" s="14"/>
      <c r="F175" s="4" t="s">
        <v>13</v>
      </c>
      <c r="G175" s="15">
        <v>0.35</v>
      </c>
      <c r="H175" s="4">
        <v>10</v>
      </c>
      <c r="I175" s="4" t="s">
        <v>14</v>
      </c>
      <c r="J175" s="15">
        <v>3.5</v>
      </c>
      <c r="K175" s="13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</row>
    <row r="176" spans="1:198" s="16" customFormat="1">
      <c r="A176" s="1">
        <f t="shared" si="2"/>
        <v>175</v>
      </c>
      <c r="B176" s="12">
        <v>171002094</v>
      </c>
      <c r="C176" s="4"/>
      <c r="D176" s="19" t="s">
        <v>224</v>
      </c>
      <c r="E176" s="14"/>
      <c r="F176" s="4" t="s">
        <v>13</v>
      </c>
      <c r="G176" s="15">
        <v>0.17</v>
      </c>
      <c r="H176" s="4">
        <v>10</v>
      </c>
      <c r="I176" s="4" t="s">
        <v>14</v>
      </c>
      <c r="J176" s="15">
        <v>1.7</v>
      </c>
      <c r="K176" s="13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</row>
    <row r="177" spans="1:198" s="16" customFormat="1">
      <c r="A177" s="1">
        <f t="shared" si="2"/>
        <v>176</v>
      </c>
      <c r="B177" s="12">
        <v>171002107</v>
      </c>
      <c r="C177" s="4"/>
      <c r="D177" s="19" t="s">
        <v>225</v>
      </c>
      <c r="E177" s="14"/>
      <c r="F177" s="4" t="s">
        <v>13</v>
      </c>
      <c r="G177" s="15">
        <v>0.73</v>
      </c>
      <c r="H177" s="4">
        <v>5</v>
      </c>
      <c r="I177" s="4" t="s">
        <v>14</v>
      </c>
      <c r="J177" s="15">
        <v>3.65</v>
      </c>
      <c r="K177" s="13">
        <v>5</v>
      </c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</row>
    <row r="178" spans="1:198" s="16" customFormat="1">
      <c r="A178" s="1">
        <f t="shared" si="2"/>
        <v>177</v>
      </c>
      <c r="B178" s="12">
        <v>171002105</v>
      </c>
      <c r="C178" s="4"/>
      <c r="D178" s="19" t="s">
        <v>226</v>
      </c>
      <c r="E178" s="14"/>
      <c r="F178" s="4" t="s">
        <v>13</v>
      </c>
      <c r="G178" s="15">
        <v>2.4</v>
      </c>
      <c r="H178" s="4">
        <v>5</v>
      </c>
      <c r="I178" s="4" t="s">
        <v>14</v>
      </c>
      <c r="J178" s="15">
        <v>12</v>
      </c>
      <c r="K178" s="13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</row>
    <row r="179" spans="1:198" s="16" customFormat="1">
      <c r="A179" s="1">
        <f t="shared" si="2"/>
        <v>178</v>
      </c>
      <c r="B179" s="12">
        <v>171002092</v>
      </c>
      <c r="C179" s="4"/>
      <c r="D179" s="19" t="s">
        <v>227</v>
      </c>
      <c r="E179" s="14"/>
      <c r="F179" s="4" t="s">
        <v>13</v>
      </c>
      <c r="G179" s="15">
        <v>0.99</v>
      </c>
      <c r="H179" s="4">
        <v>10</v>
      </c>
      <c r="I179" s="4" t="s">
        <v>14</v>
      </c>
      <c r="J179" s="15">
        <v>9.9</v>
      </c>
      <c r="K179" s="13">
        <v>10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</row>
    <row r="180" spans="1:198" s="16" customFormat="1">
      <c r="A180" s="1">
        <f t="shared" si="2"/>
        <v>179</v>
      </c>
      <c r="B180" s="12">
        <v>171002102</v>
      </c>
      <c r="C180" s="4"/>
      <c r="D180" s="19" t="s">
        <v>228</v>
      </c>
      <c r="E180" s="14"/>
      <c r="F180" s="4" t="s">
        <v>13</v>
      </c>
      <c r="G180" s="15">
        <v>4.8099999999999996</v>
      </c>
      <c r="H180" s="4">
        <v>5</v>
      </c>
      <c r="I180" s="4" t="s">
        <v>14</v>
      </c>
      <c r="J180" s="15">
        <v>24.05</v>
      </c>
      <c r="K180" s="13">
        <v>5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</row>
    <row r="181" spans="1:198" s="16" customFormat="1">
      <c r="A181" s="1">
        <f t="shared" si="2"/>
        <v>180</v>
      </c>
      <c r="B181" s="12">
        <v>171002089</v>
      </c>
      <c r="C181" s="4"/>
      <c r="D181" s="19" t="s">
        <v>229</v>
      </c>
      <c r="E181" s="14"/>
      <c r="F181" s="4" t="s">
        <v>13</v>
      </c>
      <c r="G181" s="15">
        <v>4.22</v>
      </c>
      <c r="H181" s="4">
        <v>10</v>
      </c>
      <c r="I181" s="4" t="s">
        <v>14</v>
      </c>
      <c r="J181" s="15">
        <v>42.2</v>
      </c>
      <c r="K181" s="13">
        <v>10</v>
      </c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</row>
    <row r="182" spans="1:198" s="16" customFormat="1">
      <c r="A182" s="1">
        <f t="shared" si="2"/>
        <v>181</v>
      </c>
      <c r="B182" s="12">
        <v>171002136</v>
      </c>
      <c r="C182" s="4"/>
      <c r="D182" s="19" t="s">
        <v>230</v>
      </c>
      <c r="E182" s="14"/>
      <c r="F182" s="4" t="s">
        <v>13</v>
      </c>
      <c r="G182" s="15">
        <v>0.7</v>
      </c>
      <c r="H182" s="4">
        <v>20</v>
      </c>
      <c r="I182" s="4" t="s">
        <v>14</v>
      </c>
      <c r="J182" s="15">
        <v>14</v>
      </c>
      <c r="K182" s="13">
        <v>20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</row>
    <row r="183" spans="1:198" s="16" customFormat="1">
      <c r="A183" s="1">
        <f t="shared" si="2"/>
        <v>182</v>
      </c>
      <c r="B183" s="12">
        <v>171002117</v>
      </c>
      <c r="C183" s="4"/>
      <c r="D183" s="19" t="s">
        <v>231</v>
      </c>
      <c r="E183" s="14"/>
      <c r="F183" s="4" t="s">
        <v>13</v>
      </c>
      <c r="G183" s="15">
        <v>1.23</v>
      </c>
      <c r="H183" s="4">
        <v>30</v>
      </c>
      <c r="I183" s="4" t="s">
        <v>14</v>
      </c>
      <c r="J183" s="15">
        <v>36.9</v>
      </c>
      <c r="K183" s="13">
        <v>28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</row>
    <row r="184" spans="1:198" s="16" customFormat="1">
      <c r="A184" s="1">
        <f t="shared" si="2"/>
        <v>183</v>
      </c>
      <c r="B184" s="12" t="s">
        <v>3463</v>
      </c>
      <c r="C184" s="4"/>
      <c r="D184" s="19" t="s">
        <v>232</v>
      </c>
      <c r="E184" s="14"/>
      <c r="F184" s="4" t="s">
        <v>13</v>
      </c>
      <c r="G184" s="15" t="s">
        <v>149</v>
      </c>
      <c r="H184" s="4">
        <v>9</v>
      </c>
      <c r="I184" s="4" t="s">
        <v>14</v>
      </c>
      <c r="J184" s="15" t="s">
        <v>149</v>
      </c>
      <c r="K184" s="13">
        <v>5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</row>
    <row r="185" spans="1:198" s="16" customFormat="1">
      <c r="A185" s="1">
        <f t="shared" si="2"/>
        <v>184</v>
      </c>
      <c r="B185" s="12" t="s">
        <v>3464</v>
      </c>
      <c r="C185" s="4"/>
      <c r="D185" s="19" t="s">
        <v>233</v>
      </c>
      <c r="E185" s="14"/>
      <c r="F185" s="4" t="s">
        <v>13</v>
      </c>
      <c r="G185" s="15" t="s">
        <v>149</v>
      </c>
      <c r="H185" s="4">
        <v>9</v>
      </c>
      <c r="I185" s="4" t="s">
        <v>14</v>
      </c>
      <c r="J185" s="15" t="s">
        <v>149</v>
      </c>
      <c r="K185" s="13">
        <v>8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</row>
    <row r="186" spans="1:198" s="16" customFormat="1">
      <c r="A186" s="1">
        <f t="shared" si="2"/>
        <v>185</v>
      </c>
      <c r="B186" s="12">
        <v>40805074</v>
      </c>
      <c r="C186" s="4"/>
      <c r="D186" s="19" t="s">
        <v>234</v>
      </c>
      <c r="E186" s="14"/>
      <c r="F186" s="4" t="s">
        <v>13</v>
      </c>
      <c r="G186" s="15" t="s">
        <v>149</v>
      </c>
      <c r="H186" s="4">
        <v>5</v>
      </c>
      <c r="I186" s="4" t="s">
        <v>14</v>
      </c>
      <c r="J186" s="15" t="s">
        <v>149</v>
      </c>
      <c r="K186" s="13">
        <v>5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</row>
    <row r="187" spans="1:198" s="16" customFormat="1">
      <c r="A187" s="1">
        <f t="shared" si="2"/>
        <v>186</v>
      </c>
      <c r="B187" s="12">
        <v>40805073</v>
      </c>
      <c r="C187" s="4"/>
      <c r="D187" s="19" t="s">
        <v>235</v>
      </c>
      <c r="E187" s="14"/>
      <c r="F187" s="4" t="s">
        <v>13</v>
      </c>
      <c r="G187" s="15">
        <v>66.739999999999995</v>
      </c>
      <c r="H187" s="4">
        <v>1</v>
      </c>
      <c r="I187" s="4" t="s">
        <v>14</v>
      </c>
      <c r="J187" s="15">
        <v>66.739999999999995</v>
      </c>
      <c r="K187" s="13">
        <v>1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</row>
    <row r="188" spans="1:198" s="16" customFormat="1">
      <c r="A188" s="1">
        <f t="shared" si="2"/>
        <v>187</v>
      </c>
      <c r="B188" s="12">
        <v>40805075</v>
      </c>
      <c r="C188" s="4"/>
      <c r="D188" s="19" t="s">
        <v>236</v>
      </c>
      <c r="E188" s="14"/>
      <c r="F188" s="4" t="s">
        <v>13</v>
      </c>
      <c r="G188" s="15">
        <v>103.12</v>
      </c>
      <c r="H188" s="4">
        <v>4</v>
      </c>
      <c r="I188" s="4" t="s">
        <v>14</v>
      </c>
      <c r="J188" s="15">
        <v>515.6</v>
      </c>
      <c r="K188" s="13">
        <v>4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</row>
    <row r="189" spans="1:198" s="16" customFormat="1">
      <c r="A189" s="1">
        <f t="shared" si="2"/>
        <v>188</v>
      </c>
      <c r="B189" s="12">
        <v>342910262</v>
      </c>
      <c r="C189" s="4"/>
      <c r="D189" s="19" t="s">
        <v>237</v>
      </c>
      <c r="E189" s="14"/>
      <c r="F189" s="4" t="s">
        <v>13</v>
      </c>
      <c r="G189" s="15">
        <v>345.13</v>
      </c>
      <c r="H189" s="4">
        <v>10</v>
      </c>
      <c r="I189" s="4" t="s">
        <v>14</v>
      </c>
      <c r="J189" s="15">
        <v>3451.3</v>
      </c>
      <c r="K189" s="13">
        <v>8</v>
      </c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</row>
    <row r="190" spans="1:198" s="16" customFormat="1">
      <c r="A190" s="1">
        <f t="shared" si="2"/>
        <v>189</v>
      </c>
      <c r="B190" s="12">
        <v>40704206</v>
      </c>
      <c r="C190" s="4"/>
      <c r="D190" s="19" t="s">
        <v>238</v>
      </c>
      <c r="E190" s="14"/>
      <c r="F190" s="4" t="s">
        <v>13</v>
      </c>
      <c r="G190" s="15">
        <v>7795.73</v>
      </c>
      <c r="H190" s="4">
        <v>5</v>
      </c>
      <c r="I190" s="4" t="s">
        <v>14</v>
      </c>
      <c r="J190" s="15">
        <v>38978.65</v>
      </c>
      <c r="K190" s="13">
        <v>5</v>
      </c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</row>
    <row r="191" spans="1:198" s="16" customFormat="1">
      <c r="A191" s="1">
        <f t="shared" si="2"/>
        <v>190</v>
      </c>
      <c r="B191" s="12">
        <v>3421074</v>
      </c>
      <c r="C191" s="4"/>
      <c r="D191" s="19"/>
      <c r="E191" s="14"/>
      <c r="F191" s="4" t="s">
        <v>13</v>
      </c>
      <c r="G191" s="15" t="s">
        <v>149</v>
      </c>
      <c r="H191" s="4">
        <v>8</v>
      </c>
      <c r="I191" s="4" t="s">
        <v>14</v>
      </c>
      <c r="J191" s="15"/>
      <c r="K191" s="13">
        <v>8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</row>
    <row r="192" spans="1:198" s="16" customFormat="1">
      <c r="A192" s="1">
        <f t="shared" si="2"/>
        <v>191</v>
      </c>
      <c r="B192" s="12">
        <v>340602350</v>
      </c>
      <c r="C192" s="4"/>
      <c r="D192" s="19" t="s">
        <v>239</v>
      </c>
      <c r="E192" s="14"/>
      <c r="F192" s="4" t="s">
        <v>13</v>
      </c>
      <c r="G192" s="15">
        <v>423.32</v>
      </c>
      <c r="H192" s="4">
        <v>19</v>
      </c>
      <c r="I192" s="4" t="s">
        <v>14</v>
      </c>
      <c r="J192" s="15">
        <v>8043.08</v>
      </c>
      <c r="K192" s="13">
        <v>19</v>
      </c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</row>
    <row r="193" spans="1:198" s="16" customFormat="1">
      <c r="A193" s="1">
        <f t="shared" si="2"/>
        <v>192</v>
      </c>
      <c r="B193" s="12">
        <v>340602378</v>
      </c>
      <c r="C193" s="4"/>
      <c r="D193" s="19" t="s">
        <v>240</v>
      </c>
      <c r="E193" s="14"/>
      <c r="F193" s="4" t="s">
        <v>13</v>
      </c>
      <c r="G193" s="15">
        <v>968.66</v>
      </c>
      <c r="H193" s="4">
        <v>11</v>
      </c>
      <c r="I193" s="4" t="s">
        <v>14</v>
      </c>
      <c r="J193" s="15">
        <v>10655.26</v>
      </c>
      <c r="K193" s="13">
        <v>10</v>
      </c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</row>
    <row r="194" spans="1:198" s="16" customFormat="1">
      <c r="A194" s="1">
        <f t="shared" ref="A194:A257" si="3">ROW()-1</f>
        <v>193</v>
      </c>
      <c r="B194" s="12">
        <v>40675613</v>
      </c>
      <c r="C194" s="4"/>
      <c r="D194" s="19" t="s">
        <v>241</v>
      </c>
      <c r="E194" s="14"/>
      <c r="F194" s="4" t="s">
        <v>13</v>
      </c>
      <c r="G194" s="15">
        <v>34608.639999999999</v>
      </c>
      <c r="H194" s="4">
        <v>3</v>
      </c>
      <c r="I194" s="4" t="s">
        <v>14</v>
      </c>
      <c r="J194" s="15">
        <v>34608.639999999999</v>
      </c>
      <c r="K194" s="13">
        <v>3</v>
      </c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</row>
    <row r="195" spans="1:198" s="16" customFormat="1">
      <c r="A195" s="1">
        <f t="shared" si="3"/>
        <v>194</v>
      </c>
      <c r="B195" s="12">
        <v>40800634</v>
      </c>
      <c r="C195" s="4"/>
      <c r="D195" s="19" t="s">
        <v>242</v>
      </c>
      <c r="E195" s="14"/>
      <c r="F195" s="4" t="s">
        <v>13</v>
      </c>
      <c r="G195" s="15">
        <v>402.04</v>
      </c>
      <c r="H195" s="4">
        <v>5</v>
      </c>
      <c r="I195" s="4" t="s">
        <v>14</v>
      </c>
      <c r="J195" s="15">
        <v>2010.2</v>
      </c>
      <c r="K195" s="13">
        <v>5</v>
      </c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</row>
    <row r="196" spans="1:198" s="16" customFormat="1">
      <c r="A196" s="1">
        <f t="shared" si="3"/>
        <v>195</v>
      </c>
      <c r="B196" s="12">
        <v>40800635</v>
      </c>
      <c r="C196" s="4"/>
      <c r="D196" s="19" t="s">
        <v>243</v>
      </c>
      <c r="E196" s="14"/>
      <c r="F196" s="4" t="s">
        <v>13</v>
      </c>
      <c r="G196" s="15">
        <v>1862.88</v>
      </c>
      <c r="H196" s="4">
        <v>5</v>
      </c>
      <c r="I196" s="4" t="s">
        <v>14</v>
      </c>
      <c r="J196" s="15">
        <v>9314.4</v>
      </c>
      <c r="K196" s="13">
        <v>5</v>
      </c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</row>
    <row r="197" spans="1:198" s="16" customFormat="1">
      <c r="A197" s="1">
        <f t="shared" si="3"/>
        <v>196</v>
      </c>
      <c r="B197" s="12">
        <v>40626124</v>
      </c>
      <c r="C197" s="4"/>
      <c r="D197" s="19" t="s">
        <v>244</v>
      </c>
      <c r="E197" s="14"/>
      <c r="F197" s="4" t="s">
        <v>13</v>
      </c>
      <c r="G197" s="15">
        <v>1479.585</v>
      </c>
      <c r="H197" s="4">
        <v>1</v>
      </c>
      <c r="I197" s="4" t="s">
        <v>14</v>
      </c>
      <c r="J197" s="15">
        <v>1479.585</v>
      </c>
      <c r="K197" s="13">
        <v>1</v>
      </c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</row>
    <row r="198" spans="1:198" s="16" customFormat="1">
      <c r="A198" s="1">
        <f t="shared" si="3"/>
        <v>197</v>
      </c>
      <c r="B198" s="12">
        <v>40626126</v>
      </c>
      <c r="C198" s="4"/>
      <c r="D198" s="19" t="s">
        <v>245</v>
      </c>
      <c r="E198" s="14"/>
      <c r="F198" s="4" t="s">
        <v>13</v>
      </c>
      <c r="G198" s="15">
        <v>1305.88333333333</v>
      </c>
      <c r="H198" s="4">
        <v>2</v>
      </c>
      <c r="I198" s="4" t="s">
        <v>14</v>
      </c>
      <c r="J198" s="15">
        <v>2611.7666666666701</v>
      </c>
      <c r="K198" s="13">
        <v>1</v>
      </c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</row>
    <row r="199" spans="1:198" s="16" customFormat="1">
      <c r="A199" s="1">
        <f t="shared" si="3"/>
        <v>198</v>
      </c>
      <c r="B199" s="12">
        <v>171002823</v>
      </c>
      <c r="C199" s="4"/>
      <c r="D199" s="19" t="s">
        <v>246</v>
      </c>
      <c r="E199" s="14"/>
      <c r="F199" s="4" t="s">
        <v>13</v>
      </c>
      <c r="G199" s="15">
        <v>20</v>
      </c>
      <c r="H199" s="4">
        <v>15</v>
      </c>
      <c r="I199" s="4" t="s">
        <v>14</v>
      </c>
      <c r="J199" s="15">
        <v>300</v>
      </c>
      <c r="K199" s="13">
        <v>15</v>
      </c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</row>
    <row r="200" spans="1:198" s="16" customFormat="1">
      <c r="A200" s="1">
        <f t="shared" si="3"/>
        <v>199</v>
      </c>
      <c r="B200" s="12">
        <v>40698486</v>
      </c>
      <c r="C200" s="4"/>
      <c r="D200" s="19" t="s">
        <v>247</v>
      </c>
      <c r="E200" s="14"/>
      <c r="F200" s="4" t="s">
        <v>13</v>
      </c>
      <c r="G200" s="15">
        <v>80.055599999999998</v>
      </c>
      <c r="H200" s="4">
        <v>192</v>
      </c>
      <c r="I200" s="4" t="s">
        <v>14</v>
      </c>
      <c r="J200" s="15">
        <v>15370.6752</v>
      </c>
      <c r="K200" s="13">
        <v>192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</row>
    <row r="201" spans="1:198" s="16" customFormat="1">
      <c r="A201" s="1">
        <f t="shared" si="3"/>
        <v>200</v>
      </c>
      <c r="B201" s="12">
        <v>40749752</v>
      </c>
      <c r="C201" s="4"/>
      <c r="D201" s="19" t="s">
        <v>248</v>
      </c>
      <c r="E201" s="14"/>
      <c r="F201" s="4" t="s">
        <v>13</v>
      </c>
      <c r="G201" s="15">
        <v>3457.2750000000001</v>
      </c>
      <c r="H201" s="4">
        <v>2</v>
      </c>
      <c r="I201" s="4" t="s">
        <v>187</v>
      </c>
      <c r="J201" s="15"/>
      <c r="K201" s="13">
        <v>1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</row>
    <row r="202" spans="1:198" s="16" customFormat="1">
      <c r="A202" s="1">
        <f t="shared" si="3"/>
        <v>201</v>
      </c>
      <c r="B202" s="12">
        <v>40790182</v>
      </c>
      <c r="C202" s="4"/>
      <c r="D202" s="19" t="s">
        <v>249</v>
      </c>
      <c r="E202" s="14"/>
      <c r="F202" s="4" t="s">
        <v>13</v>
      </c>
      <c r="G202" s="15">
        <v>7493.1</v>
      </c>
      <c r="H202" s="4">
        <v>4</v>
      </c>
      <c r="I202" s="4" t="s">
        <v>14</v>
      </c>
      <c r="J202" s="15">
        <v>29972.400000000001</v>
      </c>
      <c r="K202" s="13">
        <v>4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</row>
    <row r="203" spans="1:198" s="16" customFormat="1">
      <c r="A203" s="1">
        <f t="shared" si="3"/>
        <v>202</v>
      </c>
      <c r="B203" s="12">
        <v>40749756</v>
      </c>
      <c r="C203" s="4"/>
      <c r="D203" s="19" t="s">
        <v>250</v>
      </c>
      <c r="E203" s="14"/>
      <c r="F203" s="4" t="s">
        <v>13</v>
      </c>
      <c r="G203" s="15">
        <v>837.493333333333</v>
      </c>
      <c r="H203" s="4">
        <v>11</v>
      </c>
      <c r="I203" s="4" t="s">
        <v>14</v>
      </c>
      <c r="J203" s="15">
        <v>9212.4266666666699</v>
      </c>
      <c r="K203" s="13">
        <v>11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</row>
    <row r="204" spans="1:198" s="16" customFormat="1">
      <c r="A204" s="1">
        <f t="shared" si="3"/>
        <v>203</v>
      </c>
      <c r="B204" s="12">
        <v>40749755</v>
      </c>
      <c r="C204" s="4"/>
      <c r="D204" s="19" t="s">
        <v>251</v>
      </c>
      <c r="E204" s="14"/>
      <c r="F204" s="4" t="s">
        <v>13</v>
      </c>
      <c r="G204" s="15">
        <v>550.493333333333</v>
      </c>
      <c r="H204" s="4">
        <v>13</v>
      </c>
      <c r="I204" s="4" t="s">
        <v>14</v>
      </c>
      <c r="J204" s="15">
        <v>7156.4133333333302</v>
      </c>
      <c r="K204" s="13">
        <v>13</v>
      </c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</row>
    <row r="205" spans="1:198" s="16" customFormat="1">
      <c r="A205" s="1">
        <f t="shared" si="3"/>
        <v>204</v>
      </c>
      <c r="B205" s="12">
        <v>40749744</v>
      </c>
      <c r="C205" s="4"/>
      <c r="D205" s="19" t="s">
        <v>252</v>
      </c>
      <c r="E205" s="14"/>
      <c r="F205" s="4" t="s">
        <v>13</v>
      </c>
      <c r="G205" s="15">
        <v>58.86</v>
      </c>
      <c r="H205" s="4">
        <v>2</v>
      </c>
      <c r="I205" s="4" t="s">
        <v>14</v>
      </c>
      <c r="J205" s="15">
        <v>117.72</v>
      </c>
      <c r="K205" s="13">
        <v>2</v>
      </c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</row>
    <row r="206" spans="1:198" s="16" customFormat="1">
      <c r="A206" s="1">
        <f t="shared" si="3"/>
        <v>205</v>
      </c>
      <c r="B206" s="12">
        <v>40749748</v>
      </c>
      <c r="C206" s="4"/>
      <c r="D206" s="19" t="s">
        <v>253</v>
      </c>
      <c r="E206" s="14"/>
      <c r="F206" s="4" t="s">
        <v>13</v>
      </c>
      <c r="G206" s="15">
        <v>97.902000000000001</v>
      </c>
      <c r="H206" s="4">
        <v>5</v>
      </c>
      <c r="I206" s="4" t="s">
        <v>14</v>
      </c>
      <c r="J206" s="15">
        <v>489.51</v>
      </c>
      <c r="K206" s="13">
        <v>5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</row>
    <row r="207" spans="1:198" s="16" customFormat="1">
      <c r="A207" s="1">
        <f t="shared" si="3"/>
        <v>206</v>
      </c>
      <c r="B207" s="12">
        <v>40749746</v>
      </c>
      <c r="C207" s="4"/>
      <c r="D207" s="19" t="s">
        <v>254</v>
      </c>
      <c r="E207" s="14"/>
      <c r="F207" s="4" t="s">
        <v>13</v>
      </c>
      <c r="G207" s="15">
        <v>228.916</v>
      </c>
      <c r="H207" s="4">
        <v>5</v>
      </c>
      <c r="I207" s="4" t="s">
        <v>14</v>
      </c>
      <c r="J207" s="15">
        <v>1144.58</v>
      </c>
      <c r="K207" s="13">
        <v>5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</row>
    <row r="208" spans="1:198" s="16" customFormat="1">
      <c r="A208" s="1">
        <f t="shared" si="3"/>
        <v>207</v>
      </c>
      <c r="B208" s="12">
        <v>40749747</v>
      </c>
      <c r="C208" s="4"/>
      <c r="D208" s="19" t="s">
        <v>255</v>
      </c>
      <c r="E208" s="14"/>
      <c r="F208" s="4" t="s">
        <v>13</v>
      </c>
      <c r="G208" s="15">
        <v>90.29</v>
      </c>
      <c r="H208" s="4">
        <v>10</v>
      </c>
      <c r="I208" s="4" t="s">
        <v>14</v>
      </c>
      <c r="J208" s="15">
        <v>902.9</v>
      </c>
      <c r="K208" s="13">
        <v>10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</row>
    <row r="209" spans="1:198" s="16" customFormat="1">
      <c r="A209" s="1">
        <f t="shared" si="3"/>
        <v>208</v>
      </c>
      <c r="B209" s="12">
        <v>40749757</v>
      </c>
      <c r="C209" s="4"/>
      <c r="D209" s="19" t="s">
        <v>256</v>
      </c>
      <c r="E209" s="14"/>
      <c r="F209" s="4" t="s">
        <v>13</v>
      </c>
      <c r="G209" s="15">
        <v>170.26</v>
      </c>
      <c r="H209" s="4">
        <v>2</v>
      </c>
      <c r="I209" s="4" t="s">
        <v>14</v>
      </c>
      <c r="J209" s="15">
        <v>340.52</v>
      </c>
      <c r="K209" s="13">
        <v>2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</row>
    <row r="210" spans="1:198" s="16" customFormat="1">
      <c r="A210" s="1">
        <f t="shared" si="3"/>
        <v>209</v>
      </c>
      <c r="B210" s="12">
        <v>40749749</v>
      </c>
      <c r="C210" s="4"/>
      <c r="D210" s="19" t="s">
        <v>257</v>
      </c>
      <c r="E210" s="14"/>
      <c r="F210" s="4" t="s">
        <v>13</v>
      </c>
      <c r="G210" s="15">
        <v>177.32</v>
      </c>
      <c r="H210" s="4">
        <v>2</v>
      </c>
      <c r="I210" s="4" t="s">
        <v>14</v>
      </c>
      <c r="J210" s="15">
        <v>354.64</v>
      </c>
      <c r="K210" s="13">
        <v>2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</row>
    <row r="211" spans="1:198" s="16" customFormat="1">
      <c r="A211" s="1">
        <f t="shared" si="3"/>
        <v>210</v>
      </c>
      <c r="B211" s="12">
        <v>40749745</v>
      </c>
      <c r="C211" s="4"/>
      <c r="D211" s="19" t="s">
        <v>258</v>
      </c>
      <c r="E211" s="14"/>
      <c r="F211" s="4" t="s">
        <v>13</v>
      </c>
      <c r="G211" s="15">
        <v>222.29</v>
      </c>
      <c r="H211" s="4">
        <v>2</v>
      </c>
      <c r="I211" s="4" t="s">
        <v>14</v>
      </c>
      <c r="J211" s="15">
        <v>444.58</v>
      </c>
      <c r="K211" s="13">
        <v>2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</row>
    <row r="212" spans="1:198" s="16" customFormat="1">
      <c r="A212" s="1">
        <f t="shared" si="3"/>
        <v>211</v>
      </c>
      <c r="B212" s="12">
        <v>40749750</v>
      </c>
      <c r="C212" s="4"/>
      <c r="D212" s="19" t="s">
        <v>259</v>
      </c>
      <c r="E212" s="14"/>
      <c r="F212" s="4" t="s">
        <v>13</v>
      </c>
      <c r="G212" s="15">
        <v>1119.5550000000001</v>
      </c>
      <c r="H212" s="4">
        <v>2</v>
      </c>
      <c r="I212" s="4" t="s">
        <v>14</v>
      </c>
      <c r="J212" s="15">
        <v>2239.11</v>
      </c>
      <c r="K212" s="13">
        <v>2</v>
      </c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</row>
    <row r="213" spans="1:198" s="16" customFormat="1">
      <c r="A213" s="1">
        <f t="shared" si="3"/>
        <v>212</v>
      </c>
      <c r="B213" s="12">
        <v>40749751</v>
      </c>
      <c r="C213" s="4"/>
      <c r="D213" s="19" t="s">
        <v>260</v>
      </c>
      <c r="E213" s="14"/>
      <c r="F213" s="4" t="s">
        <v>13</v>
      </c>
      <c r="G213" s="15">
        <v>645.79999999999995</v>
      </c>
      <c r="H213" s="4">
        <v>2</v>
      </c>
      <c r="I213" s="4" t="s">
        <v>14</v>
      </c>
      <c r="J213" s="15">
        <v>1291.5999999999999</v>
      </c>
      <c r="K213" s="13">
        <v>2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</row>
    <row r="214" spans="1:198">
      <c r="A214" s="1">
        <f t="shared" si="3"/>
        <v>213</v>
      </c>
      <c r="B214" s="12">
        <v>40749758</v>
      </c>
      <c r="C214" s="4"/>
      <c r="D214" s="19" t="s">
        <v>261</v>
      </c>
      <c r="E214" s="14"/>
      <c r="F214" s="4" t="s">
        <v>13</v>
      </c>
      <c r="G214" s="15">
        <v>353.88499999999999</v>
      </c>
      <c r="H214" s="4">
        <v>2</v>
      </c>
      <c r="I214" s="4" t="s">
        <v>14</v>
      </c>
      <c r="J214" s="15">
        <v>707.77</v>
      </c>
      <c r="K214" s="13">
        <v>2</v>
      </c>
    </row>
    <row r="215" spans="1:198">
      <c r="A215" s="1">
        <f t="shared" si="3"/>
        <v>214</v>
      </c>
      <c r="B215" s="12">
        <v>40787764</v>
      </c>
      <c r="C215" s="4"/>
      <c r="D215" s="13" t="s">
        <v>262</v>
      </c>
      <c r="E215" s="14"/>
      <c r="F215" s="4" t="s">
        <v>13</v>
      </c>
      <c r="G215" s="15">
        <v>0.67</v>
      </c>
      <c r="H215" s="4">
        <v>10</v>
      </c>
      <c r="I215" s="4" t="s">
        <v>14</v>
      </c>
      <c r="J215" s="15">
        <v>6.7</v>
      </c>
      <c r="K215" s="13">
        <v>10</v>
      </c>
    </row>
    <row r="216" spans="1:198">
      <c r="A216" s="1">
        <f t="shared" si="3"/>
        <v>215</v>
      </c>
      <c r="B216" s="12">
        <v>40787762</v>
      </c>
      <c r="C216" s="4"/>
      <c r="D216" s="13" t="s">
        <v>262</v>
      </c>
      <c r="E216" s="14"/>
      <c r="F216" s="4" t="s">
        <v>13</v>
      </c>
      <c r="G216" s="15">
        <v>0.42</v>
      </c>
      <c r="H216" s="4">
        <v>10</v>
      </c>
      <c r="I216" s="4" t="s">
        <v>14</v>
      </c>
      <c r="J216" s="15">
        <v>4.2</v>
      </c>
      <c r="K216" s="13">
        <v>10</v>
      </c>
    </row>
    <row r="217" spans="1:198" s="16" customFormat="1">
      <c r="A217" s="1">
        <f t="shared" si="3"/>
        <v>216</v>
      </c>
      <c r="B217" s="12">
        <v>40787760</v>
      </c>
      <c r="C217" s="4"/>
      <c r="D217" s="13" t="s">
        <v>262</v>
      </c>
      <c r="E217" s="14"/>
      <c r="F217" s="4" t="s">
        <v>13</v>
      </c>
      <c r="G217" s="15">
        <v>0.38</v>
      </c>
      <c r="H217" s="4">
        <v>10</v>
      </c>
      <c r="I217" s="4" t="s">
        <v>14</v>
      </c>
      <c r="J217" s="15">
        <v>3.8</v>
      </c>
      <c r="K217" s="13">
        <v>10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</row>
    <row r="218" spans="1:198">
      <c r="A218" s="1">
        <f t="shared" si="3"/>
        <v>217</v>
      </c>
      <c r="B218" s="12">
        <v>40694664</v>
      </c>
      <c r="C218" s="4"/>
      <c r="D218" s="13" t="s">
        <v>263</v>
      </c>
      <c r="E218" s="14"/>
      <c r="F218" s="4" t="s">
        <v>13</v>
      </c>
      <c r="G218" s="15">
        <v>1171.4966666666701</v>
      </c>
      <c r="H218" s="4">
        <v>2</v>
      </c>
      <c r="I218" s="4" t="s">
        <v>14</v>
      </c>
      <c r="J218" s="15">
        <v>2342.9933333333302</v>
      </c>
      <c r="K218" s="13">
        <v>2</v>
      </c>
    </row>
    <row r="219" spans="1:198">
      <c r="A219" s="1">
        <f t="shared" si="3"/>
        <v>218</v>
      </c>
      <c r="B219" s="12">
        <v>40675616</v>
      </c>
      <c r="C219" s="4"/>
      <c r="D219" s="13" t="s">
        <v>135</v>
      </c>
      <c r="E219" s="14"/>
      <c r="F219" s="4" t="s">
        <v>13</v>
      </c>
      <c r="G219" s="15">
        <v>27320.91</v>
      </c>
      <c r="H219" s="4">
        <v>1</v>
      </c>
      <c r="I219" s="4" t="s">
        <v>14</v>
      </c>
      <c r="J219" s="15">
        <v>27320.91</v>
      </c>
      <c r="K219" s="13">
        <v>1</v>
      </c>
    </row>
    <row r="220" spans="1:198">
      <c r="A220" s="1">
        <f t="shared" si="3"/>
        <v>219</v>
      </c>
      <c r="B220" s="12">
        <v>40675617</v>
      </c>
      <c r="C220" s="4"/>
      <c r="D220" s="13" t="s">
        <v>264</v>
      </c>
      <c r="E220" s="14"/>
      <c r="F220" s="4" t="s">
        <v>13</v>
      </c>
      <c r="G220" s="15">
        <v>18328.740000000002</v>
      </c>
      <c r="H220" s="4">
        <v>1</v>
      </c>
      <c r="I220" s="4" t="s">
        <v>14</v>
      </c>
      <c r="J220" s="15">
        <v>18328.740000000002</v>
      </c>
      <c r="K220" s="13">
        <v>1</v>
      </c>
    </row>
    <row r="221" spans="1:198" s="16" customFormat="1">
      <c r="A221" s="1">
        <f t="shared" si="3"/>
        <v>220</v>
      </c>
      <c r="B221" s="12">
        <v>40698367</v>
      </c>
      <c r="C221" s="4"/>
      <c r="D221" s="13" t="s">
        <v>265</v>
      </c>
      <c r="E221" s="14"/>
      <c r="F221" s="4" t="s">
        <v>13</v>
      </c>
      <c r="G221" s="15">
        <v>2328.1999999999998</v>
      </c>
      <c r="H221" s="4">
        <v>2</v>
      </c>
      <c r="I221" s="4" t="s">
        <v>14</v>
      </c>
      <c r="J221" s="15">
        <v>4656.3999999999996</v>
      </c>
      <c r="K221" s="13">
        <v>2</v>
      </c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</row>
    <row r="222" spans="1:198" s="16" customFormat="1">
      <c r="A222" s="1">
        <f t="shared" si="3"/>
        <v>221</v>
      </c>
      <c r="B222" s="12">
        <v>40790821</v>
      </c>
      <c r="C222" s="4"/>
      <c r="D222" s="13" t="s">
        <v>266</v>
      </c>
      <c r="E222" s="14"/>
      <c r="F222" s="4" t="s">
        <v>13</v>
      </c>
      <c r="G222" s="15">
        <v>108.04</v>
      </c>
      <c r="H222" s="4">
        <v>2</v>
      </c>
      <c r="I222" s="4" t="s">
        <v>59</v>
      </c>
      <c r="J222" s="15">
        <v>216.08</v>
      </c>
      <c r="K222" s="13">
        <v>2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</row>
    <row r="223" spans="1:198">
      <c r="A223" s="1">
        <f t="shared" si="3"/>
        <v>222</v>
      </c>
      <c r="B223" s="12">
        <v>40701929</v>
      </c>
      <c r="C223" s="4"/>
      <c r="D223" s="13" t="s">
        <v>267</v>
      </c>
      <c r="E223" s="14"/>
      <c r="F223" s="4" t="s">
        <v>13</v>
      </c>
      <c r="G223" s="15">
        <v>1500</v>
      </c>
      <c r="H223" s="4">
        <v>8</v>
      </c>
      <c r="I223" s="4" t="s">
        <v>14</v>
      </c>
      <c r="J223" s="15">
        <f>G223*H223</f>
        <v>12000</v>
      </c>
      <c r="K223" s="13">
        <v>8</v>
      </c>
    </row>
    <row r="224" spans="1:198">
      <c r="A224" s="1">
        <f t="shared" si="3"/>
        <v>223</v>
      </c>
      <c r="B224" s="12">
        <v>40676314</v>
      </c>
      <c r="C224" s="4"/>
      <c r="D224" s="13" t="s">
        <v>268</v>
      </c>
      <c r="E224" s="14"/>
      <c r="F224" s="4" t="s">
        <v>13</v>
      </c>
      <c r="G224" s="15">
        <v>768.9</v>
      </c>
      <c r="H224" s="4">
        <v>1</v>
      </c>
      <c r="I224" s="4" t="s">
        <v>14</v>
      </c>
      <c r="J224" s="15">
        <v>768.9</v>
      </c>
      <c r="K224" s="13">
        <v>1</v>
      </c>
    </row>
    <row r="225" spans="1:198" s="16" customFormat="1">
      <c r="A225" s="1">
        <f t="shared" si="3"/>
        <v>224</v>
      </c>
      <c r="B225" s="12">
        <v>40691786</v>
      </c>
      <c r="C225" s="4"/>
      <c r="D225" s="13" t="s">
        <v>269</v>
      </c>
      <c r="E225" s="14"/>
      <c r="F225" s="4" t="s">
        <v>13</v>
      </c>
      <c r="G225" s="15">
        <v>6257.63</v>
      </c>
      <c r="H225" s="4">
        <v>2</v>
      </c>
      <c r="I225" s="4" t="s">
        <v>14</v>
      </c>
      <c r="J225" s="15">
        <v>12515.26</v>
      </c>
      <c r="K225" s="13">
        <v>2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</row>
    <row r="226" spans="1:198" s="16" customFormat="1">
      <c r="A226" s="1">
        <f t="shared" si="3"/>
        <v>225</v>
      </c>
      <c r="B226" s="12">
        <v>40787761</v>
      </c>
      <c r="C226" s="4"/>
      <c r="D226" s="13" t="s">
        <v>262</v>
      </c>
      <c r="E226" s="14"/>
      <c r="F226" s="4" t="s">
        <v>13</v>
      </c>
      <c r="G226" s="15">
        <v>0.48</v>
      </c>
      <c r="H226" s="4">
        <v>10</v>
      </c>
      <c r="I226" s="4" t="s">
        <v>14</v>
      </c>
      <c r="J226" s="15">
        <v>4.8</v>
      </c>
      <c r="K226" s="13">
        <v>10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</row>
    <row r="227" spans="1:198">
      <c r="A227" s="1">
        <f t="shared" si="3"/>
        <v>226</v>
      </c>
      <c r="B227" s="12">
        <v>40761972</v>
      </c>
      <c r="C227" s="4"/>
      <c r="D227" s="13" t="s">
        <v>270</v>
      </c>
      <c r="E227" s="14"/>
      <c r="F227" s="4" t="s">
        <v>13</v>
      </c>
      <c r="G227" s="15">
        <v>65.81</v>
      </c>
      <c r="H227" s="4">
        <v>12</v>
      </c>
      <c r="I227" s="4" t="s">
        <v>14</v>
      </c>
      <c r="J227" s="15">
        <v>1184.58</v>
      </c>
      <c r="K227" s="13">
        <v>12</v>
      </c>
    </row>
    <row r="228" spans="1:198" s="16" customFormat="1">
      <c r="A228" s="1">
        <f t="shared" si="3"/>
        <v>227</v>
      </c>
      <c r="B228" s="12">
        <v>40699265</v>
      </c>
      <c r="C228" s="4"/>
      <c r="D228" s="13" t="s">
        <v>271</v>
      </c>
      <c r="E228" s="14"/>
      <c r="F228" s="4" t="s">
        <v>13</v>
      </c>
      <c r="G228" s="15">
        <v>647.78</v>
      </c>
      <c r="H228" s="4">
        <v>4</v>
      </c>
      <c r="I228" s="4" t="s">
        <v>14</v>
      </c>
      <c r="J228" s="15">
        <v>5182.24</v>
      </c>
      <c r="K228" s="13">
        <v>4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</row>
    <row r="229" spans="1:198" s="16" customFormat="1">
      <c r="A229" s="1">
        <f t="shared" si="3"/>
        <v>228</v>
      </c>
      <c r="B229" s="12">
        <v>40741974</v>
      </c>
      <c r="C229" s="4"/>
      <c r="D229" s="13" t="s">
        <v>272</v>
      </c>
      <c r="E229" s="14"/>
      <c r="F229" s="4" t="s">
        <v>13</v>
      </c>
      <c r="G229" s="15">
        <v>474.84</v>
      </c>
      <c r="H229" s="4">
        <v>9</v>
      </c>
      <c r="I229" s="4" t="s">
        <v>14</v>
      </c>
      <c r="J229" s="15">
        <v>3798.72</v>
      </c>
      <c r="K229" s="13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</row>
    <row r="230" spans="1:198">
      <c r="A230" s="1">
        <f t="shared" si="3"/>
        <v>229</v>
      </c>
      <c r="B230" s="12">
        <v>40741976</v>
      </c>
      <c r="C230" s="4"/>
      <c r="D230" s="13" t="s">
        <v>273</v>
      </c>
      <c r="E230" s="14"/>
      <c r="F230" s="4" t="s">
        <v>13</v>
      </c>
      <c r="G230" s="15">
        <v>462.34</v>
      </c>
      <c r="H230" s="4">
        <v>9</v>
      </c>
      <c r="I230" s="4"/>
      <c r="J230" s="15">
        <v>5085.74</v>
      </c>
      <c r="K230" s="13">
        <v>7</v>
      </c>
    </row>
    <row r="231" spans="1:198">
      <c r="A231" s="1">
        <f t="shared" si="3"/>
        <v>230</v>
      </c>
      <c r="B231" s="12">
        <v>40138707</v>
      </c>
      <c r="C231" s="4"/>
      <c r="D231" s="13" t="s">
        <v>274</v>
      </c>
      <c r="E231" s="14"/>
      <c r="F231" s="4" t="s">
        <v>13</v>
      </c>
      <c r="G231" s="15">
        <v>3406.91</v>
      </c>
      <c r="H231" s="4">
        <v>10</v>
      </c>
      <c r="I231" s="4" t="s">
        <v>14</v>
      </c>
      <c r="J231" s="15">
        <v>34069.1</v>
      </c>
      <c r="K231" s="13">
        <v>10</v>
      </c>
    </row>
    <row r="232" spans="1:198">
      <c r="A232" s="1">
        <f t="shared" si="3"/>
        <v>231</v>
      </c>
      <c r="B232" s="12">
        <v>40666285</v>
      </c>
      <c r="C232" s="4"/>
      <c r="D232" s="13" t="s">
        <v>275</v>
      </c>
      <c r="E232" s="14"/>
      <c r="F232" s="4" t="s">
        <v>13</v>
      </c>
      <c r="G232" s="4"/>
      <c r="H232" s="4">
        <v>4</v>
      </c>
      <c r="I232" s="4" t="s">
        <v>14</v>
      </c>
      <c r="J232" s="4"/>
      <c r="K232" s="13"/>
    </row>
    <row r="233" spans="1:198">
      <c r="A233" s="1">
        <f t="shared" si="3"/>
        <v>232</v>
      </c>
      <c r="B233" s="12">
        <v>40790347</v>
      </c>
      <c r="C233" s="4"/>
      <c r="D233" s="13" t="s">
        <v>276</v>
      </c>
      <c r="E233" s="14"/>
      <c r="F233" s="4" t="s">
        <v>13</v>
      </c>
      <c r="G233" s="4"/>
      <c r="H233" s="4">
        <v>4</v>
      </c>
      <c r="I233" s="4" t="s">
        <v>14</v>
      </c>
      <c r="J233" s="4"/>
      <c r="K233" s="13">
        <v>4</v>
      </c>
    </row>
    <row r="234" spans="1:198">
      <c r="A234" s="1">
        <f t="shared" si="3"/>
        <v>233</v>
      </c>
      <c r="B234" s="12">
        <v>131300327</v>
      </c>
      <c r="C234" s="4"/>
      <c r="D234" s="13" t="s">
        <v>277</v>
      </c>
      <c r="E234" s="14"/>
      <c r="F234" s="4" t="s">
        <v>13</v>
      </c>
      <c r="G234" s="4"/>
      <c r="H234" s="4">
        <v>1</v>
      </c>
      <c r="I234" s="4" t="s">
        <v>59</v>
      </c>
      <c r="J234" s="4"/>
      <c r="K234" s="13">
        <v>1</v>
      </c>
    </row>
    <row r="235" spans="1:198">
      <c r="A235" s="1">
        <f t="shared" si="3"/>
        <v>234</v>
      </c>
      <c r="B235" s="12">
        <v>40741980</v>
      </c>
      <c r="C235" s="4"/>
      <c r="D235" s="13" t="s">
        <v>278</v>
      </c>
      <c r="E235" s="14"/>
      <c r="F235" s="4" t="s">
        <v>13</v>
      </c>
      <c r="G235" s="4"/>
      <c r="H235" s="4">
        <v>1</v>
      </c>
      <c r="I235" s="4" t="s">
        <v>14</v>
      </c>
      <c r="J235" s="4"/>
      <c r="K235" s="13">
        <v>1</v>
      </c>
    </row>
    <row r="236" spans="1:198">
      <c r="A236" s="1">
        <f t="shared" si="3"/>
        <v>235</v>
      </c>
      <c r="B236" s="12">
        <v>40140629</v>
      </c>
      <c r="C236" s="4"/>
      <c r="D236" s="13" t="s">
        <v>133</v>
      </c>
      <c r="E236" s="14"/>
      <c r="F236" s="4" t="s">
        <v>13</v>
      </c>
      <c r="G236" s="4"/>
      <c r="H236" s="4">
        <v>10</v>
      </c>
      <c r="I236" s="4" t="s">
        <v>14</v>
      </c>
      <c r="J236" s="4"/>
      <c r="K236" s="13">
        <v>10</v>
      </c>
    </row>
    <row r="237" spans="1:198">
      <c r="A237" s="1">
        <f t="shared" si="3"/>
        <v>236</v>
      </c>
      <c r="B237" s="12">
        <v>40741974</v>
      </c>
      <c r="C237" s="4"/>
      <c r="D237" s="13" t="s">
        <v>272</v>
      </c>
      <c r="E237" s="14"/>
      <c r="F237" s="4" t="s">
        <v>13</v>
      </c>
      <c r="G237" s="4"/>
      <c r="H237" s="4">
        <v>9</v>
      </c>
      <c r="I237" s="4" t="s">
        <v>14</v>
      </c>
      <c r="J237" s="4"/>
      <c r="K237" s="13">
        <v>8</v>
      </c>
    </row>
    <row r="238" spans="1:198">
      <c r="A238" s="1">
        <f t="shared" si="3"/>
        <v>237</v>
      </c>
      <c r="B238" s="12">
        <v>40741979</v>
      </c>
      <c r="C238" s="4"/>
      <c r="D238" s="13" t="s">
        <v>279</v>
      </c>
      <c r="E238" s="14"/>
      <c r="F238" s="4" t="s">
        <v>13</v>
      </c>
      <c r="G238" s="4"/>
      <c r="H238" s="4">
        <v>8</v>
      </c>
      <c r="I238" s="4" t="s">
        <v>14</v>
      </c>
      <c r="J238" s="4"/>
      <c r="K238" s="13">
        <v>8</v>
      </c>
    </row>
    <row r="239" spans="1:198">
      <c r="A239" s="1">
        <f t="shared" si="3"/>
        <v>238</v>
      </c>
      <c r="B239" s="12">
        <v>40741981</v>
      </c>
      <c r="C239" s="4"/>
      <c r="D239" s="13" t="s">
        <v>280</v>
      </c>
      <c r="E239" s="14"/>
      <c r="F239" s="4" t="s">
        <v>13</v>
      </c>
      <c r="G239" s="4"/>
      <c r="H239" s="4">
        <v>7</v>
      </c>
      <c r="I239" s="4" t="s">
        <v>14</v>
      </c>
      <c r="J239" s="4"/>
      <c r="K239" s="13">
        <v>7</v>
      </c>
    </row>
    <row r="240" spans="1:198">
      <c r="A240" s="1">
        <f t="shared" si="3"/>
        <v>239</v>
      </c>
      <c r="B240" s="12">
        <v>40147286</v>
      </c>
      <c r="C240" s="4"/>
      <c r="D240" s="13" t="s">
        <v>281</v>
      </c>
      <c r="E240" s="14"/>
      <c r="F240" s="4" t="s">
        <v>13</v>
      </c>
      <c r="G240" s="4"/>
      <c r="H240" s="4">
        <v>9</v>
      </c>
      <c r="I240" s="4" t="s">
        <v>14</v>
      </c>
      <c r="J240" s="4"/>
      <c r="K240" s="13">
        <v>9</v>
      </c>
    </row>
    <row r="241" spans="1:11">
      <c r="A241" s="1">
        <f t="shared" si="3"/>
        <v>240</v>
      </c>
      <c r="B241" s="12">
        <v>40704243</v>
      </c>
      <c r="C241" s="4"/>
      <c r="D241" s="13" t="s">
        <v>282</v>
      </c>
      <c r="E241" s="14"/>
      <c r="F241" s="4" t="s">
        <v>13</v>
      </c>
      <c r="G241" s="4"/>
      <c r="H241" s="4">
        <v>3</v>
      </c>
      <c r="I241" s="4" t="s">
        <v>14</v>
      </c>
      <c r="J241" s="4">
        <f>SUM(J1:J208)</f>
        <v>1089583.8632256412</v>
      </c>
      <c r="K241" s="13">
        <v>3</v>
      </c>
    </row>
    <row r="242" spans="1:11">
      <c r="A242" s="1">
        <f t="shared" si="3"/>
        <v>241</v>
      </c>
      <c r="B242" s="12">
        <v>40750919</v>
      </c>
      <c r="C242" s="4"/>
      <c r="D242" s="13" t="s">
        <v>283</v>
      </c>
      <c r="E242" s="14"/>
      <c r="F242" s="4" t="s">
        <v>13</v>
      </c>
      <c r="G242" s="4"/>
      <c r="H242" s="4">
        <v>1</v>
      </c>
      <c r="I242" s="4" t="s">
        <v>59</v>
      </c>
      <c r="J242" s="4"/>
      <c r="K242" s="13">
        <v>1</v>
      </c>
    </row>
    <row r="243" spans="1:11">
      <c r="A243" s="1">
        <f t="shared" si="3"/>
        <v>242</v>
      </c>
      <c r="B243" s="12">
        <v>40803645</v>
      </c>
      <c r="C243" s="4"/>
      <c r="D243" s="13" t="s">
        <v>284</v>
      </c>
      <c r="E243" s="14"/>
      <c r="F243" s="4" t="s">
        <v>13</v>
      </c>
      <c r="G243" s="4"/>
      <c r="H243" s="4">
        <v>60</v>
      </c>
      <c r="I243" s="4" t="s">
        <v>14</v>
      </c>
      <c r="J243" s="4"/>
      <c r="K243" s="13">
        <v>60</v>
      </c>
    </row>
    <row r="244" spans="1:11">
      <c r="A244" s="1">
        <f t="shared" si="3"/>
        <v>243</v>
      </c>
      <c r="B244" s="12">
        <v>40697689</v>
      </c>
      <c r="C244" s="4"/>
      <c r="D244" s="13" t="s">
        <v>285</v>
      </c>
      <c r="E244" s="14"/>
      <c r="F244" s="4" t="s">
        <v>13</v>
      </c>
      <c r="G244" s="4"/>
      <c r="H244" s="4">
        <v>50</v>
      </c>
      <c r="I244" s="4" t="s">
        <v>14</v>
      </c>
      <c r="J244" s="4"/>
      <c r="K244" s="13">
        <v>50</v>
      </c>
    </row>
    <row r="245" spans="1:11">
      <c r="A245" s="1">
        <f t="shared" si="3"/>
        <v>244</v>
      </c>
      <c r="B245" s="12">
        <v>110201092</v>
      </c>
      <c r="C245" s="4"/>
      <c r="D245" s="13" t="s">
        <v>286</v>
      </c>
      <c r="E245" s="14"/>
      <c r="F245" s="4" t="s">
        <v>13</v>
      </c>
      <c r="G245" s="4"/>
      <c r="H245" s="4">
        <v>3</v>
      </c>
      <c r="I245" s="4" t="s">
        <v>287</v>
      </c>
      <c r="J245" s="4"/>
      <c r="K245" s="13">
        <v>3</v>
      </c>
    </row>
    <row r="246" spans="1:11">
      <c r="A246" s="1">
        <f t="shared" si="3"/>
        <v>245</v>
      </c>
      <c r="B246" s="12">
        <v>40675615</v>
      </c>
      <c r="C246" s="4"/>
      <c r="D246" s="13" t="s">
        <v>288</v>
      </c>
      <c r="E246" s="14"/>
      <c r="F246" s="4" t="s">
        <v>13</v>
      </c>
      <c r="G246" s="4"/>
      <c r="H246" s="4">
        <v>1</v>
      </c>
      <c r="I246" s="4" t="s">
        <v>14</v>
      </c>
      <c r="J246" s="4"/>
      <c r="K246" s="13">
        <v>1</v>
      </c>
    </row>
    <row r="247" spans="1:11">
      <c r="A247" s="1">
        <f t="shared" si="3"/>
        <v>246</v>
      </c>
      <c r="B247" s="12">
        <v>40691175</v>
      </c>
      <c r="C247" s="4"/>
      <c r="D247" s="13" t="s">
        <v>289</v>
      </c>
      <c r="E247" s="14"/>
      <c r="F247" s="4" t="s">
        <v>13</v>
      </c>
      <c r="G247" s="4"/>
      <c r="H247" s="4">
        <v>2</v>
      </c>
      <c r="I247" s="4" t="s">
        <v>14</v>
      </c>
      <c r="J247" s="4"/>
      <c r="K247" s="13">
        <v>2</v>
      </c>
    </row>
    <row r="248" spans="1:11">
      <c r="A248" s="1">
        <f t="shared" si="3"/>
        <v>247</v>
      </c>
      <c r="B248" s="12">
        <v>40794506</v>
      </c>
      <c r="C248" s="4"/>
      <c r="D248" s="13" t="s">
        <v>290</v>
      </c>
      <c r="E248" s="14"/>
      <c r="F248" s="4" t="s">
        <v>13</v>
      </c>
      <c r="G248" s="4"/>
      <c r="H248" s="4">
        <v>1</v>
      </c>
      <c r="I248" s="4" t="s">
        <v>59</v>
      </c>
      <c r="J248" s="4"/>
      <c r="K248" s="13">
        <v>1</v>
      </c>
    </row>
    <row r="249" spans="1:11">
      <c r="A249" s="1">
        <f t="shared" si="3"/>
        <v>248</v>
      </c>
      <c r="B249" s="12">
        <v>40691941</v>
      </c>
      <c r="C249" s="4"/>
      <c r="D249" s="13" t="s">
        <v>291</v>
      </c>
      <c r="E249" s="14"/>
      <c r="F249" s="4" t="s">
        <v>13</v>
      </c>
      <c r="G249" s="4"/>
      <c r="H249" s="4">
        <v>1</v>
      </c>
      <c r="I249" s="4" t="s">
        <v>14</v>
      </c>
      <c r="J249" s="4"/>
      <c r="K249" s="13">
        <v>1</v>
      </c>
    </row>
    <row r="250" spans="1:11">
      <c r="A250" s="1">
        <f t="shared" si="3"/>
        <v>249</v>
      </c>
      <c r="B250" s="12">
        <v>40691942</v>
      </c>
      <c r="C250" s="4"/>
      <c r="D250" s="13" t="s">
        <v>292</v>
      </c>
      <c r="E250" s="14"/>
      <c r="F250" s="4" t="s">
        <v>13</v>
      </c>
      <c r="G250" s="4"/>
      <c r="H250" s="4">
        <v>1</v>
      </c>
      <c r="I250" s="4" t="s">
        <v>14</v>
      </c>
      <c r="J250" s="4"/>
      <c r="K250" s="13">
        <v>1</v>
      </c>
    </row>
    <row r="251" spans="1:11">
      <c r="A251" s="1">
        <f t="shared" si="3"/>
        <v>250</v>
      </c>
      <c r="B251" s="12">
        <v>131300329</v>
      </c>
      <c r="C251" s="4"/>
      <c r="D251" s="13" t="s">
        <v>293</v>
      </c>
      <c r="E251" s="14"/>
      <c r="F251" s="4" t="s">
        <v>13</v>
      </c>
      <c r="G251" s="4"/>
      <c r="H251" s="4">
        <v>50</v>
      </c>
      <c r="I251" s="4" t="s">
        <v>14</v>
      </c>
      <c r="J251" s="4"/>
      <c r="K251" s="13">
        <v>50</v>
      </c>
    </row>
    <row r="252" spans="1:11">
      <c r="A252" s="1">
        <f t="shared" si="3"/>
        <v>251</v>
      </c>
      <c r="B252" s="12">
        <v>171000544</v>
      </c>
      <c r="C252" s="4"/>
      <c r="D252" s="13" t="s">
        <v>294</v>
      </c>
      <c r="E252" s="14"/>
      <c r="F252" s="4" t="s">
        <v>13</v>
      </c>
      <c r="G252" s="4"/>
      <c r="H252" s="4">
        <v>5</v>
      </c>
      <c r="I252" s="4" t="s">
        <v>14</v>
      </c>
      <c r="J252" s="4"/>
      <c r="K252" s="13">
        <v>2</v>
      </c>
    </row>
    <row r="253" spans="1:11">
      <c r="A253" s="1">
        <f t="shared" si="3"/>
        <v>252</v>
      </c>
      <c r="B253" s="12">
        <v>130100154</v>
      </c>
      <c r="C253" s="4"/>
      <c r="D253" s="13" t="s">
        <v>176</v>
      </c>
      <c r="E253" s="14"/>
      <c r="F253" s="4" t="s">
        <v>13</v>
      </c>
      <c r="G253" s="4"/>
      <c r="H253" s="4">
        <v>20</v>
      </c>
      <c r="I253" s="4" t="s">
        <v>14</v>
      </c>
      <c r="J253" s="4"/>
      <c r="K253" s="13">
        <v>19</v>
      </c>
    </row>
    <row r="254" spans="1:11">
      <c r="A254" s="1">
        <f t="shared" si="3"/>
        <v>253</v>
      </c>
      <c r="B254" s="12">
        <v>130400364</v>
      </c>
      <c r="C254" s="4"/>
      <c r="D254" s="13" t="s">
        <v>295</v>
      </c>
      <c r="E254" s="14"/>
      <c r="F254" s="4" t="s">
        <v>13</v>
      </c>
      <c r="G254" s="4"/>
      <c r="H254" s="4">
        <v>7</v>
      </c>
      <c r="I254" s="4" t="s">
        <v>14</v>
      </c>
      <c r="J254" s="4"/>
      <c r="K254" s="13">
        <v>7</v>
      </c>
    </row>
    <row r="255" spans="1:11">
      <c r="A255" s="1">
        <f t="shared" si="3"/>
        <v>254</v>
      </c>
      <c r="B255" s="12">
        <v>40248696</v>
      </c>
      <c r="C255" s="4"/>
      <c r="D255" s="13" t="s">
        <v>296</v>
      </c>
      <c r="E255" s="14"/>
      <c r="F255" s="4" t="s">
        <v>13</v>
      </c>
      <c r="G255" s="4"/>
      <c r="H255" s="4">
        <v>24</v>
      </c>
      <c r="I255" s="4" t="s">
        <v>14</v>
      </c>
      <c r="J255" s="4"/>
      <c r="K255" s="13">
        <v>24</v>
      </c>
    </row>
    <row r="256" spans="1:11">
      <c r="A256" s="1">
        <f t="shared" si="3"/>
        <v>255</v>
      </c>
      <c r="B256" s="12">
        <v>506</v>
      </c>
      <c r="C256" s="4"/>
      <c r="D256" s="13" t="s">
        <v>297</v>
      </c>
      <c r="E256" s="14"/>
      <c r="F256" s="4" t="s">
        <v>13</v>
      </c>
      <c r="G256" s="4"/>
      <c r="H256" s="4">
        <v>72</v>
      </c>
      <c r="I256" s="4" t="s">
        <v>14</v>
      </c>
      <c r="J256" s="4"/>
      <c r="K256" s="13">
        <v>72</v>
      </c>
    </row>
    <row r="257" spans="1:11">
      <c r="A257" s="1">
        <f t="shared" si="3"/>
        <v>256</v>
      </c>
      <c r="B257" s="12">
        <v>40729303</v>
      </c>
      <c r="C257" s="4"/>
      <c r="D257" s="13" t="s">
        <v>298</v>
      </c>
      <c r="E257" s="14"/>
      <c r="F257" s="4" t="s">
        <v>13</v>
      </c>
      <c r="G257" s="4"/>
      <c r="H257" s="4">
        <v>1</v>
      </c>
      <c r="I257" s="4" t="s">
        <v>14</v>
      </c>
      <c r="J257" s="4"/>
      <c r="K257" s="13">
        <v>1</v>
      </c>
    </row>
    <row r="258" spans="1:11">
      <c r="A258" s="1">
        <f t="shared" ref="A258:A321" si="4">ROW()-1</f>
        <v>257</v>
      </c>
      <c r="B258" s="12" t="s">
        <v>299</v>
      </c>
      <c r="C258" s="4"/>
      <c r="D258" s="13" t="s">
        <v>300</v>
      </c>
      <c r="E258" s="14"/>
      <c r="F258" s="4" t="s">
        <v>13</v>
      </c>
      <c r="G258" s="4"/>
      <c r="H258" s="4">
        <v>20</v>
      </c>
      <c r="I258" s="4" t="s">
        <v>14</v>
      </c>
      <c r="J258" s="4"/>
      <c r="K258" s="13">
        <v>20</v>
      </c>
    </row>
    <row r="259" spans="1:11">
      <c r="A259" s="1">
        <f t="shared" si="4"/>
        <v>258</v>
      </c>
      <c r="B259" s="12">
        <v>40690324</v>
      </c>
      <c r="C259" s="4"/>
      <c r="D259" s="13" t="s">
        <v>301</v>
      </c>
      <c r="E259" s="14"/>
      <c r="F259" s="4" t="s">
        <v>13</v>
      </c>
      <c r="G259" s="4"/>
      <c r="H259" s="4">
        <v>5</v>
      </c>
      <c r="I259" s="4" t="s">
        <v>14</v>
      </c>
      <c r="J259" s="4"/>
      <c r="K259" s="13">
        <v>5</v>
      </c>
    </row>
    <row r="260" spans="1:11">
      <c r="A260" s="1">
        <f t="shared" si="4"/>
        <v>259</v>
      </c>
      <c r="B260" s="12">
        <v>40628606</v>
      </c>
      <c r="C260" s="4"/>
      <c r="D260" s="13" t="s">
        <v>302</v>
      </c>
      <c r="E260" s="14"/>
      <c r="F260" s="4" t="s">
        <v>13</v>
      </c>
      <c r="G260" s="4"/>
      <c r="H260" s="4">
        <v>1</v>
      </c>
      <c r="I260" s="4" t="s">
        <v>14</v>
      </c>
      <c r="J260" s="4"/>
      <c r="K260" s="13">
        <v>1</v>
      </c>
    </row>
    <row r="261" spans="1:11">
      <c r="A261" s="1">
        <f t="shared" si="4"/>
        <v>260</v>
      </c>
      <c r="B261" s="12">
        <v>171002133</v>
      </c>
      <c r="C261" s="4"/>
      <c r="D261" s="13" t="s">
        <v>303</v>
      </c>
      <c r="E261" s="14"/>
      <c r="F261" s="4" t="s">
        <v>13</v>
      </c>
      <c r="G261" s="4"/>
      <c r="H261" s="4">
        <v>10</v>
      </c>
      <c r="I261" s="4" t="s">
        <v>14</v>
      </c>
      <c r="J261" s="4"/>
      <c r="K261" s="13">
        <v>10</v>
      </c>
    </row>
    <row r="262" spans="1:11">
      <c r="A262" s="1">
        <f t="shared" si="4"/>
        <v>261</v>
      </c>
      <c r="B262" s="12" t="s">
        <v>304</v>
      </c>
      <c r="C262" s="4"/>
      <c r="D262" s="13" t="s">
        <v>305</v>
      </c>
      <c r="E262" s="14"/>
      <c r="F262" s="4" t="s">
        <v>13</v>
      </c>
      <c r="G262" s="4"/>
      <c r="H262" s="4">
        <v>2</v>
      </c>
      <c r="I262" s="4" t="s">
        <v>14</v>
      </c>
      <c r="J262" s="4"/>
      <c r="K262" s="13">
        <v>2</v>
      </c>
    </row>
    <row r="263" spans="1:11">
      <c r="A263" s="1">
        <f t="shared" si="4"/>
        <v>262</v>
      </c>
      <c r="B263" s="12" t="s">
        <v>306</v>
      </c>
      <c r="C263" s="4"/>
      <c r="D263" s="13" t="s">
        <v>307</v>
      </c>
      <c r="E263" s="14"/>
      <c r="F263" s="4" t="s">
        <v>13</v>
      </c>
      <c r="G263" s="4"/>
      <c r="H263" s="4">
        <v>50</v>
      </c>
      <c r="I263" s="4" t="s">
        <v>14</v>
      </c>
      <c r="J263" s="4"/>
      <c r="K263" s="13">
        <v>49</v>
      </c>
    </row>
    <row r="264" spans="1:11">
      <c r="A264" s="1">
        <f t="shared" si="4"/>
        <v>263</v>
      </c>
      <c r="B264" s="12">
        <v>331200233</v>
      </c>
      <c r="C264" s="4"/>
      <c r="D264" s="13" t="s">
        <v>308</v>
      </c>
      <c r="E264" s="14"/>
      <c r="F264" s="4" t="s">
        <v>13</v>
      </c>
      <c r="G264" s="4"/>
      <c r="H264" s="4">
        <v>12</v>
      </c>
      <c r="I264" s="4" t="s">
        <v>14</v>
      </c>
      <c r="J264" s="4"/>
      <c r="K264" s="13">
        <v>12</v>
      </c>
    </row>
    <row r="265" spans="1:11">
      <c r="A265" s="1">
        <f t="shared" si="4"/>
        <v>264</v>
      </c>
      <c r="B265" s="12">
        <v>331200233</v>
      </c>
      <c r="C265" s="4"/>
      <c r="D265" s="13" t="s">
        <v>309</v>
      </c>
      <c r="E265" s="14"/>
      <c r="F265" s="4" t="s">
        <v>13</v>
      </c>
      <c r="G265" s="4"/>
      <c r="H265" s="4">
        <v>30</v>
      </c>
      <c r="I265" s="4" t="s">
        <v>14</v>
      </c>
      <c r="J265" s="4"/>
      <c r="K265" s="13">
        <v>30</v>
      </c>
    </row>
    <row r="266" spans="1:11">
      <c r="A266" s="1">
        <f t="shared" si="4"/>
        <v>265</v>
      </c>
      <c r="B266" s="12">
        <v>40704261</v>
      </c>
      <c r="C266" s="4"/>
      <c r="D266" s="13"/>
      <c r="E266" s="14"/>
      <c r="F266" s="4" t="s">
        <v>13</v>
      </c>
      <c r="G266" s="4"/>
      <c r="H266" s="4">
        <v>1</v>
      </c>
      <c r="I266" s="4" t="s">
        <v>14</v>
      </c>
      <c r="J266" s="4"/>
      <c r="K266" s="13">
        <v>1</v>
      </c>
    </row>
    <row r="267" spans="1:11">
      <c r="A267" s="1">
        <f t="shared" si="4"/>
        <v>266</v>
      </c>
      <c r="B267" s="12">
        <v>40626704</v>
      </c>
      <c r="C267" s="4"/>
      <c r="D267" s="13" t="s">
        <v>310</v>
      </c>
      <c r="E267" s="14"/>
      <c r="F267" s="4" t="s">
        <v>13</v>
      </c>
      <c r="G267" s="4"/>
      <c r="H267" s="4">
        <v>20</v>
      </c>
      <c r="I267" s="4" t="s">
        <v>14</v>
      </c>
      <c r="J267" s="4"/>
      <c r="K267" s="13">
        <v>20</v>
      </c>
    </row>
    <row r="268" spans="1:11">
      <c r="A268" s="1">
        <f t="shared" si="4"/>
        <v>267</v>
      </c>
      <c r="B268" s="12">
        <v>343801087</v>
      </c>
      <c r="C268" s="4"/>
      <c r="D268" s="13" t="s">
        <v>311</v>
      </c>
      <c r="E268" s="14"/>
      <c r="F268" s="4" t="s">
        <v>13</v>
      </c>
      <c r="G268" s="4"/>
      <c r="H268" s="4">
        <v>4</v>
      </c>
      <c r="I268" s="4" t="s">
        <v>59</v>
      </c>
      <c r="J268" s="4"/>
      <c r="K268" s="13">
        <v>4</v>
      </c>
    </row>
    <row r="269" spans="1:11">
      <c r="A269" s="1">
        <f t="shared" si="4"/>
        <v>268</v>
      </c>
      <c r="B269" s="12">
        <v>40768082</v>
      </c>
      <c r="C269" s="4"/>
      <c r="D269" s="13" t="s">
        <v>312</v>
      </c>
      <c r="E269" s="14"/>
      <c r="F269" s="4" t="s">
        <v>13</v>
      </c>
      <c r="G269" s="4"/>
      <c r="H269" s="4">
        <v>40</v>
      </c>
      <c r="I269" s="4" t="s">
        <v>313</v>
      </c>
      <c r="J269" s="4"/>
      <c r="K269" s="13">
        <v>40</v>
      </c>
    </row>
    <row r="270" spans="1:11">
      <c r="A270" s="1">
        <f t="shared" si="4"/>
        <v>269</v>
      </c>
      <c r="B270" s="12" t="s">
        <v>314</v>
      </c>
      <c r="C270" s="4"/>
      <c r="D270" s="13" t="s">
        <v>315</v>
      </c>
      <c r="E270" s="14"/>
      <c r="F270" s="4" t="s">
        <v>13</v>
      </c>
      <c r="G270" s="4"/>
      <c r="H270" s="4">
        <v>2</v>
      </c>
      <c r="I270" s="4" t="s">
        <v>14</v>
      </c>
      <c r="J270" s="4"/>
      <c r="K270" s="13">
        <v>1</v>
      </c>
    </row>
    <row r="271" spans="1:11">
      <c r="A271" s="1">
        <f t="shared" si="4"/>
        <v>270</v>
      </c>
      <c r="B271" s="12">
        <v>81025013</v>
      </c>
      <c r="C271" s="4"/>
      <c r="D271" s="13"/>
      <c r="E271" s="14"/>
      <c r="F271" s="4" t="s">
        <v>13</v>
      </c>
      <c r="G271" s="4"/>
      <c r="H271" s="4">
        <v>1</v>
      </c>
      <c r="I271" s="4"/>
      <c r="J271" s="4"/>
      <c r="K271" s="13">
        <v>1</v>
      </c>
    </row>
    <row r="272" spans="1:11">
      <c r="A272" s="1">
        <f t="shared" si="4"/>
        <v>271</v>
      </c>
      <c r="B272" s="12">
        <v>40251365</v>
      </c>
      <c r="C272" s="4"/>
      <c r="D272" s="13" t="s">
        <v>316</v>
      </c>
      <c r="E272" s="14"/>
      <c r="F272" s="4" t="s">
        <v>13</v>
      </c>
      <c r="G272" s="4"/>
      <c r="H272" s="4">
        <v>145</v>
      </c>
      <c r="I272" s="4" t="s">
        <v>14</v>
      </c>
      <c r="J272" s="4"/>
      <c r="K272" s="13">
        <v>137</v>
      </c>
    </row>
    <row r="273" spans="1:11">
      <c r="A273" s="1">
        <f t="shared" si="4"/>
        <v>272</v>
      </c>
      <c r="B273" s="12">
        <v>56302549</v>
      </c>
      <c r="C273" s="4"/>
      <c r="D273" s="13"/>
      <c r="E273" s="14"/>
      <c r="F273" s="4" t="s">
        <v>13</v>
      </c>
      <c r="G273" s="4"/>
      <c r="H273" s="4">
        <v>2</v>
      </c>
      <c r="I273" s="4" t="s">
        <v>14</v>
      </c>
      <c r="J273" s="4"/>
      <c r="K273" s="13">
        <v>2</v>
      </c>
    </row>
    <row r="274" spans="1:11">
      <c r="A274" s="1">
        <f t="shared" si="4"/>
        <v>273</v>
      </c>
      <c r="B274" s="12">
        <v>160503126</v>
      </c>
      <c r="C274" s="4"/>
      <c r="D274" s="13" t="s">
        <v>317</v>
      </c>
      <c r="E274" s="14"/>
      <c r="F274" s="4" t="s">
        <v>13</v>
      </c>
      <c r="G274" s="4"/>
      <c r="H274" s="4">
        <v>200</v>
      </c>
      <c r="I274" s="4" t="s">
        <v>14</v>
      </c>
      <c r="J274" s="4"/>
      <c r="K274" s="13">
        <v>200</v>
      </c>
    </row>
    <row r="275" spans="1:11">
      <c r="A275" s="1">
        <f t="shared" si="4"/>
        <v>274</v>
      </c>
      <c r="B275" s="12">
        <v>160503124</v>
      </c>
      <c r="C275" s="4"/>
      <c r="D275" s="13" t="s">
        <v>318</v>
      </c>
      <c r="E275" s="14"/>
      <c r="F275" s="4" t="s">
        <v>13</v>
      </c>
      <c r="G275" s="4"/>
      <c r="H275" s="4">
        <v>200</v>
      </c>
      <c r="I275" s="4" t="s">
        <v>14</v>
      </c>
      <c r="J275" s="4"/>
      <c r="K275" s="13">
        <v>200</v>
      </c>
    </row>
    <row r="276" spans="1:11">
      <c r="A276" s="1">
        <f t="shared" si="4"/>
        <v>275</v>
      </c>
      <c r="B276" s="12">
        <v>160503123</v>
      </c>
      <c r="C276" s="4"/>
      <c r="D276" s="13" t="s">
        <v>319</v>
      </c>
      <c r="E276" s="14"/>
      <c r="F276" s="4" t="s">
        <v>13</v>
      </c>
      <c r="G276" s="4"/>
      <c r="H276" s="4">
        <v>200</v>
      </c>
      <c r="I276" s="4" t="s">
        <v>14</v>
      </c>
      <c r="J276" s="4"/>
      <c r="K276" s="13">
        <v>200</v>
      </c>
    </row>
    <row r="277" spans="1:11">
      <c r="A277" s="1">
        <f t="shared" si="4"/>
        <v>276</v>
      </c>
      <c r="B277" s="12">
        <v>160503125</v>
      </c>
      <c r="C277" s="4"/>
      <c r="D277" s="13" t="s">
        <v>320</v>
      </c>
      <c r="E277" s="14"/>
      <c r="F277" s="4" t="s">
        <v>13</v>
      </c>
      <c r="G277" s="4"/>
      <c r="H277" s="4">
        <v>200</v>
      </c>
      <c r="I277" s="4" t="s">
        <v>14</v>
      </c>
      <c r="J277" s="4"/>
      <c r="K277" s="13">
        <v>200</v>
      </c>
    </row>
    <row r="278" spans="1:11">
      <c r="A278" s="1">
        <f t="shared" si="4"/>
        <v>277</v>
      </c>
      <c r="B278" s="12">
        <v>131300326</v>
      </c>
      <c r="C278" s="4"/>
      <c r="D278" s="13" t="s">
        <v>321</v>
      </c>
      <c r="E278" s="14"/>
      <c r="F278" s="4" t="s">
        <v>13</v>
      </c>
      <c r="G278" s="4"/>
      <c r="H278" s="4">
        <v>2</v>
      </c>
      <c r="I278" s="4" t="s">
        <v>14</v>
      </c>
      <c r="J278" s="4"/>
      <c r="K278" s="13">
        <v>2</v>
      </c>
    </row>
    <row r="279" spans="1:11">
      <c r="A279" s="1">
        <f t="shared" si="4"/>
        <v>278</v>
      </c>
      <c r="B279" s="12">
        <v>131300325</v>
      </c>
      <c r="C279" s="4"/>
      <c r="D279" s="13" t="s">
        <v>322</v>
      </c>
      <c r="E279" s="14"/>
      <c r="F279" s="4" t="s">
        <v>13</v>
      </c>
      <c r="G279" s="4"/>
      <c r="H279" s="4">
        <v>20</v>
      </c>
      <c r="I279" s="4" t="s">
        <v>14</v>
      </c>
      <c r="J279" s="4"/>
      <c r="K279" s="13">
        <v>20</v>
      </c>
    </row>
    <row r="280" spans="1:11">
      <c r="A280" s="1">
        <f t="shared" si="4"/>
        <v>279</v>
      </c>
      <c r="B280" s="12">
        <v>131300324</v>
      </c>
      <c r="C280" s="4"/>
      <c r="D280" s="13" t="s">
        <v>323</v>
      </c>
      <c r="E280" s="14"/>
      <c r="F280" s="4" t="s">
        <v>13</v>
      </c>
      <c r="G280" s="4"/>
      <c r="H280" s="4">
        <v>10</v>
      </c>
      <c r="I280" s="4" t="s">
        <v>14</v>
      </c>
      <c r="J280" s="4"/>
      <c r="K280" s="13">
        <v>10</v>
      </c>
    </row>
    <row r="281" spans="1:11">
      <c r="A281" s="1">
        <f t="shared" si="4"/>
        <v>280</v>
      </c>
      <c r="B281" s="12">
        <v>131300320</v>
      </c>
      <c r="C281" s="4"/>
      <c r="D281" s="13" t="s">
        <v>324</v>
      </c>
      <c r="E281" s="14"/>
      <c r="F281" s="4" t="s">
        <v>13</v>
      </c>
      <c r="G281" s="4"/>
      <c r="H281" s="4">
        <v>20</v>
      </c>
      <c r="I281" s="4" t="s">
        <v>14</v>
      </c>
      <c r="J281" s="4"/>
      <c r="K281" s="13"/>
    </row>
    <row r="282" spans="1:11">
      <c r="A282" s="1">
        <f t="shared" si="4"/>
        <v>281</v>
      </c>
      <c r="B282" s="12">
        <v>40683957</v>
      </c>
      <c r="C282" s="4"/>
      <c r="D282" s="13" t="s">
        <v>325</v>
      </c>
      <c r="E282" s="14"/>
      <c r="F282" s="4" t="s">
        <v>13</v>
      </c>
      <c r="G282" s="4"/>
      <c r="H282" s="4">
        <v>3</v>
      </c>
      <c r="I282" s="4" t="s">
        <v>14</v>
      </c>
      <c r="J282" s="4"/>
      <c r="K282" s="13"/>
    </row>
    <row r="283" spans="1:11">
      <c r="A283" s="1">
        <f t="shared" si="4"/>
        <v>282</v>
      </c>
      <c r="B283" s="12">
        <v>40754613</v>
      </c>
      <c r="C283" s="4"/>
      <c r="D283" s="13" t="s">
        <v>326</v>
      </c>
      <c r="E283" s="14"/>
      <c r="F283" s="4" t="s">
        <v>13</v>
      </c>
      <c r="G283" s="4"/>
      <c r="H283" s="4">
        <v>5</v>
      </c>
      <c r="I283" s="4" t="s">
        <v>327</v>
      </c>
      <c r="J283" s="4"/>
      <c r="K283" s="13">
        <v>5</v>
      </c>
    </row>
    <row r="284" spans="1:11">
      <c r="A284" s="1">
        <f t="shared" si="4"/>
        <v>283</v>
      </c>
      <c r="B284" s="12">
        <v>40675613</v>
      </c>
      <c r="C284" s="4"/>
      <c r="D284" s="13" t="s">
        <v>241</v>
      </c>
      <c r="E284" s="14"/>
      <c r="F284" s="4" t="s">
        <v>13</v>
      </c>
      <c r="G284" s="4"/>
      <c r="H284" s="4">
        <v>3</v>
      </c>
      <c r="I284" s="4" t="s">
        <v>14</v>
      </c>
      <c r="J284" s="4"/>
      <c r="K284" s="13">
        <v>3</v>
      </c>
    </row>
    <row r="285" spans="1:11">
      <c r="A285" s="1">
        <f t="shared" si="4"/>
        <v>284</v>
      </c>
      <c r="B285" s="12" t="s">
        <v>328</v>
      </c>
      <c r="C285" s="4"/>
      <c r="D285" s="13" t="s">
        <v>329</v>
      </c>
      <c r="E285" s="14"/>
      <c r="F285" s="4" t="s">
        <v>13</v>
      </c>
      <c r="G285" s="4"/>
      <c r="H285" s="4">
        <v>9</v>
      </c>
      <c r="I285" s="4" t="s">
        <v>14</v>
      </c>
      <c r="J285" s="4"/>
      <c r="K285" s="13">
        <v>7</v>
      </c>
    </row>
    <row r="286" spans="1:11">
      <c r="A286" s="1">
        <f t="shared" si="4"/>
        <v>285</v>
      </c>
      <c r="B286" s="12">
        <v>160702842</v>
      </c>
      <c r="C286" s="4"/>
      <c r="D286" s="13" t="s">
        <v>330</v>
      </c>
      <c r="E286" s="14"/>
      <c r="F286" s="4" t="s">
        <v>13</v>
      </c>
      <c r="G286" s="4"/>
      <c r="H286" s="4">
        <v>2</v>
      </c>
      <c r="I286" s="4" t="s">
        <v>14</v>
      </c>
      <c r="J286" s="4"/>
      <c r="K286" s="13">
        <v>2</v>
      </c>
    </row>
    <row r="287" spans="1:11">
      <c r="A287" s="1">
        <f t="shared" si="4"/>
        <v>286</v>
      </c>
      <c r="B287" s="12">
        <v>160702841</v>
      </c>
      <c r="C287" s="4"/>
      <c r="D287" s="13" t="s">
        <v>331</v>
      </c>
      <c r="E287" s="14"/>
      <c r="F287" s="4" t="s">
        <v>13</v>
      </c>
      <c r="G287" s="4"/>
      <c r="H287" s="4">
        <v>2</v>
      </c>
      <c r="I287" s="4" t="s">
        <v>14</v>
      </c>
      <c r="J287" s="4"/>
      <c r="K287" s="13">
        <v>2</v>
      </c>
    </row>
    <row r="288" spans="1:11">
      <c r="A288" s="1">
        <f t="shared" si="4"/>
        <v>287</v>
      </c>
      <c r="B288" s="12">
        <v>110101211</v>
      </c>
      <c r="C288" s="4"/>
      <c r="D288" s="13" t="s">
        <v>332</v>
      </c>
      <c r="E288" s="14"/>
      <c r="F288" s="4" t="s">
        <v>13</v>
      </c>
      <c r="G288" s="4"/>
      <c r="H288" s="4">
        <v>2</v>
      </c>
      <c r="I288" s="4" t="s">
        <v>14</v>
      </c>
      <c r="J288" s="4"/>
      <c r="K288" s="13">
        <v>2</v>
      </c>
    </row>
    <row r="289" spans="1:11">
      <c r="A289" s="1">
        <f t="shared" si="4"/>
        <v>288</v>
      </c>
      <c r="B289" s="12">
        <v>342911533</v>
      </c>
      <c r="C289" s="4"/>
      <c r="D289" s="13" t="s">
        <v>333</v>
      </c>
      <c r="E289" s="14"/>
      <c r="F289" s="4" t="s">
        <v>13</v>
      </c>
      <c r="G289" s="4"/>
      <c r="H289" s="4">
        <v>10</v>
      </c>
      <c r="I289" s="4" t="s">
        <v>59</v>
      </c>
      <c r="J289" s="4"/>
      <c r="K289" s="13">
        <v>10</v>
      </c>
    </row>
    <row r="290" spans="1:11">
      <c r="A290" s="1">
        <f t="shared" si="4"/>
        <v>289</v>
      </c>
      <c r="B290" s="12">
        <v>342911555</v>
      </c>
      <c r="C290" s="4"/>
      <c r="D290" s="13" t="s">
        <v>334</v>
      </c>
      <c r="E290" s="14"/>
      <c r="F290" s="4" t="s">
        <v>13</v>
      </c>
      <c r="G290" s="4"/>
      <c r="H290" s="4">
        <v>6</v>
      </c>
      <c r="I290" s="4" t="s">
        <v>14</v>
      </c>
      <c r="J290" s="4"/>
      <c r="K290" s="13">
        <v>6</v>
      </c>
    </row>
    <row r="291" spans="1:11">
      <c r="A291" s="1">
        <f t="shared" si="4"/>
        <v>290</v>
      </c>
      <c r="B291" s="12">
        <v>342911545</v>
      </c>
      <c r="C291" s="4"/>
      <c r="D291" s="13" t="s">
        <v>335</v>
      </c>
      <c r="E291" s="14"/>
      <c r="F291" s="4" t="s">
        <v>13</v>
      </c>
      <c r="G291" s="4"/>
      <c r="H291" s="4">
        <v>2</v>
      </c>
      <c r="I291" s="4" t="s">
        <v>14</v>
      </c>
      <c r="J291" s="4"/>
      <c r="K291" s="13">
        <v>2</v>
      </c>
    </row>
    <row r="292" spans="1:11">
      <c r="A292" s="1">
        <f t="shared" si="4"/>
        <v>291</v>
      </c>
      <c r="B292" s="12">
        <v>342911543</v>
      </c>
      <c r="C292" s="4"/>
      <c r="D292" s="13" t="s">
        <v>336</v>
      </c>
      <c r="E292" s="14"/>
      <c r="F292" s="4" t="s">
        <v>13</v>
      </c>
      <c r="G292" s="4"/>
      <c r="H292" s="4">
        <v>2</v>
      </c>
      <c r="I292" s="4" t="s">
        <v>14</v>
      </c>
      <c r="J292" s="4"/>
      <c r="K292" s="13">
        <v>2</v>
      </c>
    </row>
    <row r="293" spans="1:11">
      <c r="A293" s="1">
        <f t="shared" si="4"/>
        <v>292</v>
      </c>
      <c r="B293" s="12">
        <v>342911536</v>
      </c>
      <c r="C293" s="4"/>
      <c r="D293" s="13" t="s">
        <v>337</v>
      </c>
      <c r="E293" s="14"/>
      <c r="F293" s="4" t="s">
        <v>13</v>
      </c>
      <c r="G293" s="4"/>
      <c r="H293" s="4">
        <v>10</v>
      </c>
      <c r="I293" s="4" t="s">
        <v>14</v>
      </c>
      <c r="J293" s="4"/>
      <c r="K293" s="13">
        <v>10</v>
      </c>
    </row>
    <row r="294" spans="1:11">
      <c r="A294" s="1">
        <f t="shared" si="4"/>
        <v>293</v>
      </c>
      <c r="B294" s="12">
        <v>342911535</v>
      </c>
      <c r="C294" s="4"/>
      <c r="D294" s="13" t="s">
        <v>338</v>
      </c>
      <c r="E294" s="14"/>
      <c r="F294" s="4" t="s">
        <v>13</v>
      </c>
      <c r="G294" s="4"/>
      <c r="H294" s="4">
        <v>5</v>
      </c>
      <c r="I294" s="4" t="s">
        <v>59</v>
      </c>
      <c r="J294" s="4"/>
      <c r="K294" s="13">
        <v>5</v>
      </c>
    </row>
    <row r="295" spans="1:11">
      <c r="A295" s="1">
        <f t="shared" si="4"/>
        <v>294</v>
      </c>
      <c r="B295" s="12">
        <v>342911537</v>
      </c>
      <c r="C295" s="4"/>
      <c r="D295" s="13" t="s">
        <v>339</v>
      </c>
      <c r="E295" s="14"/>
      <c r="F295" s="4" t="s">
        <v>13</v>
      </c>
      <c r="G295" s="4"/>
      <c r="H295" s="4">
        <v>5</v>
      </c>
      <c r="I295" s="4" t="s">
        <v>14</v>
      </c>
      <c r="J295" s="4"/>
      <c r="K295" s="13">
        <v>5</v>
      </c>
    </row>
    <row r="296" spans="1:11">
      <c r="A296" s="1">
        <f t="shared" si="4"/>
        <v>295</v>
      </c>
      <c r="B296" s="12">
        <v>40699620</v>
      </c>
      <c r="C296" s="4"/>
      <c r="D296" s="13" t="s">
        <v>340</v>
      </c>
      <c r="E296" s="14"/>
      <c r="F296" s="4" t="s">
        <v>13</v>
      </c>
      <c r="G296" s="4"/>
      <c r="H296" s="4">
        <v>100</v>
      </c>
      <c r="I296" s="4" t="s">
        <v>14</v>
      </c>
      <c r="J296" s="4"/>
      <c r="K296" s="13">
        <v>100</v>
      </c>
    </row>
    <row r="297" spans="1:11">
      <c r="A297" s="1">
        <f t="shared" si="4"/>
        <v>296</v>
      </c>
      <c r="B297" s="12">
        <v>40699616</v>
      </c>
      <c r="C297" s="4"/>
      <c r="D297" s="13" t="s">
        <v>341</v>
      </c>
      <c r="E297" s="14"/>
      <c r="F297" s="4" t="s">
        <v>13</v>
      </c>
      <c r="G297" s="4"/>
      <c r="H297" s="4">
        <v>100</v>
      </c>
      <c r="I297" s="4" t="s">
        <v>14</v>
      </c>
      <c r="J297" s="4"/>
      <c r="K297" s="13">
        <v>100</v>
      </c>
    </row>
    <row r="298" spans="1:11">
      <c r="A298" s="1">
        <f t="shared" si="4"/>
        <v>297</v>
      </c>
      <c r="B298" s="12">
        <v>40691552</v>
      </c>
      <c r="C298" s="4"/>
      <c r="D298" s="13" t="s">
        <v>342</v>
      </c>
      <c r="E298" s="14"/>
      <c r="F298" s="4" t="s">
        <v>13</v>
      </c>
      <c r="G298" s="4"/>
      <c r="H298" s="4">
        <v>600</v>
      </c>
      <c r="I298" s="4" t="s">
        <v>14</v>
      </c>
      <c r="J298" s="4"/>
      <c r="K298" s="13">
        <v>1100</v>
      </c>
    </row>
    <row r="299" spans="1:11">
      <c r="A299" s="1">
        <f t="shared" si="4"/>
        <v>298</v>
      </c>
      <c r="B299" s="12">
        <v>160702843</v>
      </c>
      <c r="C299" s="4"/>
      <c r="D299" s="13" t="s">
        <v>343</v>
      </c>
      <c r="E299" s="14"/>
      <c r="F299" s="4" t="s">
        <v>13</v>
      </c>
      <c r="G299" s="4"/>
      <c r="H299" s="4">
        <v>2</v>
      </c>
      <c r="I299" s="4" t="s">
        <v>14</v>
      </c>
      <c r="J299" s="4"/>
      <c r="K299" s="13">
        <v>2</v>
      </c>
    </row>
    <row r="300" spans="1:11">
      <c r="A300" s="1">
        <f t="shared" si="4"/>
        <v>299</v>
      </c>
      <c r="B300" s="12">
        <v>110101212</v>
      </c>
      <c r="C300" s="4"/>
      <c r="D300" s="13" t="s">
        <v>344</v>
      </c>
      <c r="E300" s="14"/>
      <c r="F300" s="4" t="s">
        <v>13</v>
      </c>
      <c r="G300" s="4"/>
      <c r="H300" s="4">
        <v>2</v>
      </c>
      <c r="I300" s="4" t="s">
        <v>14</v>
      </c>
      <c r="J300" s="4"/>
      <c r="K300" s="13">
        <v>2</v>
      </c>
    </row>
    <row r="301" spans="1:11">
      <c r="A301" s="1">
        <f t="shared" si="4"/>
        <v>300</v>
      </c>
      <c r="B301" s="12">
        <v>110101210</v>
      </c>
      <c r="C301" s="4"/>
      <c r="D301" s="13" t="s">
        <v>345</v>
      </c>
      <c r="E301" s="14"/>
      <c r="F301" s="4" t="s">
        <v>13</v>
      </c>
      <c r="G301" s="4"/>
      <c r="H301" s="4">
        <v>2</v>
      </c>
      <c r="I301" s="4" t="s">
        <v>14</v>
      </c>
      <c r="J301" s="4"/>
      <c r="K301" s="13">
        <v>2</v>
      </c>
    </row>
    <row r="302" spans="1:11">
      <c r="A302" s="1">
        <f t="shared" si="4"/>
        <v>301</v>
      </c>
      <c r="B302" s="12">
        <v>110101213</v>
      </c>
      <c r="C302" s="4"/>
      <c r="D302" s="13" t="s">
        <v>346</v>
      </c>
      <c r="E302" s="14"/>
      <c r="F302" s="4" t="s">
        <v>13</v>
      </c>
      <c r="G302" s="4"/>
      <c r="H302" s="4">
        <v>2</v>
      </c>
      <c r="I302" s="4" t="s">
        <v>14</v>
      </c>
      <c r="J302" s="4"/>
      <c r="K302" s="13">
        <v>2</v>
      </c>
    </row>
    <row r="303" spans="1:11">
      <c r="A303" s="1">
        <f t="shared" si="4"/>
        <v>302</v>
      </c>
      <c r="B303" s="12">
        <v>342911554</v>
      </c>
      <c r="C303" s="4"/>
      <c r="D303" s="13" t="s">
        <v>347</v>
      </c>
      <c r="E303" s="14"/>
      <c r="F303" s="4" t="s">
        <v>13</v>
      </c>
      <c r="G303" s="4"/>
      <c r="H303" s="4">
        <v>10</v>
      </c>
      <c r="I303" s="4" t="s">
        <v>14</v>
      </c>
      <c r="J303" s="4"/>
      <c r="K303" s="13">
        <v>10</v>
      </c>
    </row>
    <row r="304" spans="1:11">
      <c r="A304" s="1">
        <f t="shared" si="4"/>
        <v>303</v>
      </c>
      <c r="B304" s="12">
        <v>40697072</v>
      </c>
      <c r="C304" s="4"/>
      <c r="D304" s="13" t="s">
        <v>348</v>
      </c>
      <c r="E304" s="14"/>
      <c r="F304" s="4" t="s">
        <v>13</v>
      </c>
      <c r="G304" s="4"/>
      <c r="H304" s="4">
        <v>118</v>
      </c>
      <c r="I304" s="4" t="s">
        <v>14</v>
      </c>
      <c r="J304" s="4"/>
      <c r="K304" s="13">
        <v>118</v>
      </c>
    </row>
    <row r="305" spans="1:11">
      <c r="A305" s="1">
        <f t="shared" si="4"/>
        <v>304</v>
      </c>
      <c r="B305" s="12">
        <v>40699617</v>
      </c>
      <c r="C305" s="4"/>
      <c r="D305" s="13" t="s">
        <v>349</v>
      </c>
      <c r="E305" s="14"/>
      <c r="F305" s="4" t="s">
        <v>13</v>
      </c>
      <c r="G305" s="4"/>
      <c r="H305" s="4">
        <v>100</v>
      </c>
      <c r="I305" s="4" t="s">
        <v>14</v>
      </c>
      <c r="J305" s="4"/>
      <c r="K305" s="13">
        <v>100</v>
      </c>
    </row>
    <row r="306" spans="1:11">
      <c r="A306" s="1">
        <f t="shared" si="4"/>
        <v>305</v>
      </c>
      <c r="B306" s="12">
        <v>131301368</v>
      </c>
      <c r="C306" s="4"/>
      <c r="D306" s="13" t="s">
        <v>350</v>
      </c>
      <c r="E306" s="14"/>
      <c r="F306" s="4" t="s">
        <v>13</v>
      </c>
      <c r="G306" s="4"/>
      <c r="H306" s="4">
        <v>10</v>
      </c>
      <c r="I306" s="4" t="s">
        <v>14</v>
      </c>
      <c r="J306" s="4"/>
      <c r="K306" s="13">
        <v>10</v>
      </c>
    </row>
    <row r="307" spans="1:11">
      <c r="A307" s="1">
        <f t="shared" si="4"/>
        <v>306</v>
      </c>
      <c r="B307" s="12">
        <v>131301367</v>
      </c>
      <c r="C307" s="4"/>
      <c r="D307" s="13" t="s">
        <v>351</v>
      </c>
      <c r="E307" s="14"/>
      <c r="F307" s="4" t="s">
        <v>13</v>
      </c>
      <c r="G307" s="4"/>
      <c r="H307" s="4">
        <v>12</v>
      </c>
      <c r="I307" s="4" t="s">
        <v>14</v>
      </c>
      <c r="J307" s="4"/>
      <c r="K307" s="13">
        <v>12</v>
      </c>
    </row>
    <row r="308" spans="1:11">
      <c r="A308" s="1">
        <f t="shared" si="4"/>
        <v>307</v>
      </c>
      <c r="B308" s="12">
        <v>40699619</v>
      </c>
      <c r="C308" s="4"/>
      <c r="D308" s="13" t="s">
        <v>352</v>
      </c>
      <c r="E308" s="14"/>
      <c r="F308" s="4" t="s">
        <v>13</v>
      </c>
      <c r="G308" s="4"/>
      <c r="H308" s="4">
        <v>100</v>
      </c>
      <c r="I308" s="4" t="s">
        <v>14</v>
      </c>
      <c r="J308" s="4"/>
      <c r="K308" s="13">
        <v>80</v>
      </c>
    </row>
    <row r="309" spans="1:11">
      <c r="A309" s="1">
        <f t="shared" si="4"/>
        <v>308</v>
      </c>
      <c r="B309" s="12">
        <v>40699618</v>
      </c>
      <c r="C309" s="4"/>
      <c r="D309" s="13" t="s">
        <v>353</v>
      </c>
      <c r="E309" s="14"/>
      <c r="F309" s="4" t="s">
        <v>13</v>
      </c>
      <c r="G309" s="4"/>
      <c r="H309" s="4">
        <v>100</v>
      </c>
      <c r="I309" s="4" t="s">
        <v>14</v>
      </c>
      <c r="J309" s="4"/>
      <c r="K309" s="13">
        <v>100</v>
      </c>
    </row>
    <row r="310" spans="1:11">
      <c r="A310" s="1">
        <f t="shared" si="4"/>
        <v>309</v>
      </c>
      <c r="B310" s="12">
        <v>40699622</v>
      </c>
      <c r="C310" s="4"/>
      <c r="D310" s="13" t="s">
        <v>354</v>
      </c>
      <c r="E310" s="14"/>
      <c r="F310" s="4" t="s">
        <v>13</v>
      </c>
      <c r="G310" s="4"/>
      <c r="H310" s="4">
        <v>100</v>
      </c>
      <c r="I310" s="4" t="s">
        <v>14</v>
      </c>
      <c r="J310" s="4"/>
      <c r="K310" s="13">
        <v>100</v>
      </c>
    </row>
    <row r="311" spans="1:11">
      <c r="A311" s="1">
        <f t="shared" si="4"/>
        <v>310</v>
      </c>
      <c r="B311" s="12">
        <v>40763090</v>
      </c>
      <c r="C311" s="4"/>
      <c r="D311" s="13" t="s">
        <v>355</v>
      </c>
      <c r="E311" s="14"/>
      <c r="F311" s="4" t="s">
        <v>13</v>
      </c>
      <c r="G311" s="4"/>
      <c r="H311" s="4">
        <v>1</v>
      </c>
      <c r="I311" s="4" t="s">
        <v>59</v>
      </c>
      <c r="J311" s="4"/>
      <c r="K311" s="13">
        <v>1</v>
      </c>
    </row>
    <row r="312" spans="1:11">
      <c r="A312" s="1">
        <f t="shared" si="4"/>
        <v>311</v>
      </c>
      <c r="B312" s="12">
        <v>40763079</v>
      </c>
      <c r="C312" s="4"/>
      <c r="D312" s="13" t="s">
        <v>356</v>
      </c>
      <c r="E312" s="14"/>
      <c r="F312" s="4" t="s">
        <v>13</v>
      </c>
      <c r="G312" s="4"/>
      <c r="H312" s="4">
        <v>1</v>
      </c>
      <c r="I312" s="4" t="s">
        <v>59</v>
      </c>
      <c r="J312" s="4"/>
      <c r="K312" s="13">
        <v>1</v>
      </c>
    </row>
    <row r="313" spans="1:11">
      <c r="A313" s="1">
        <f t="shared" si="4"/>
        <v>312</v>
      </c>
      <c r="B313" s="12">
        <v>342911552</v>
      </c>
      <c r="C313" s="4"/>
      <c r="D313" s="13" t="s">
        <v>357</v>
      </c>
      <c r="E313" s="14"/>
      <c r="F313" s="4" t="s">
        <v>13</v>
      </c>
      <c r="G313" s="4"/>
      <c r="H313" s="4">
        <v>1</v>
      </c>
      <c r="I313" s="4" t="s">
        <v>14</v>
      </c>
      <c r="J313" s="4"/>
      <c r="K313" s="13">
        <v>1</v>
      </c>
    </row>
    <row r="314" spans="1:11">
      <c r="A314" s="1">
        <f t="shared" si="4"/>
        <v>313</v>
      </c>
      <c r="B314" s="12">
        <v>342911541</v>
      </c>
      <c r="C314" s="4"/>
      <c r="D314" s="13" t="s">
        <v>358</v>
      </c>
      <c r="E314" s="14"/>
      <c r="F314" s="4" t="s">
        <v>13</v>
      </c>
      <c r="G314" s="4"/>
      <c r="H314" s="4">
        <v>2</v>
      </c>
      <c r="I314" s="4" t="s">
        <v>14</v>
      </c>
      <c r="J314" s="4"/>
      <c r="K314" s="13">
        <v>2</v>
      </c>
    </row>
    <row r="315" spans="1:11">
      <c r="A315" s="1">
        <f t="shared" si="4"/>
        <v>314</v>
      </c>
      <c r="B315" s="12">
        <v>160702844</v>
      </c>
      <c r="C315" s="4"/>
      <c r="D315" s="13" t="s">
        <v>359</v>
      </c>
      <c r="E315" s="14"/>
      <c r="F315" s="4" t="s">
        <v>13</v>
      </c>
      <c r="G315" s="4"/>
      <c r="H315" s="4">
        <v>2</v>
      </c>
      <c r="I315" s="4" t="s">
        <v>14</v>
      </c>
      <c r="J315" s="4"/>
      <c r="K315" s="13">
        <v>2</v>
      </c>
    </row>
    <row r="316" spans="1:11">
      <c r="A316" s="1">
        <f t="shared" si="4"/>
        <v>315</v>
      </c>
      <c r="B316" s="12">
        <v>342911540</v>
      </c>
      <c r="C316" s="4"/>
      <c r="D316" s="13" t="s">
        <v>360</v>
      </c>
      <c r="E316" s="14"/>
      <c r="F316" s="4" t="s">
        <v>13</v>
      </c>
      <c r="G316" s="4"/>
      <c r="H316" s="4">
        <v>2</v>
      </c>
      <c r="I316" s="4" t="s">
        <v>14</v>
      </c>
      <c r="J316" s="4"/>
      <c r="K316" s="13">
        <v>2</v>
      </c>
    </row>
    <row r="317" spans="1:11">
      <c r="A317" s="1">
        <f t="shared" si="4"/>
        <v>316</v>
      </c>
      <c r="B317" s="12">
        <v>40799691</v>
      </c>
      <c r="C317" s="4"/>
      <c r="D317" s="13"/>
      <c r="E317" s="14"/>
      <c r="F317" s="4" t="s">
        <v>13</v>
      </c>
      <c r="G317" s="4"/>
      <c r="H317" s="4">
        <v>2</v>
      </c>
      <c r="I317" s="4" t="s">
        <v>14</v>
      </c>
      <c r="J317" s="4"/>
      <c r="K317" s="13">
        <v>2</v>
      </c>
    </row>
    <row r="318" spans="1:11">
      <c r="A318" s="1">
        <f t="shared" si="4"/>
        <v>317</v>
      </c>
      <c r="B318" s="12">
        <v>40799690</v>
      </c>
      <c r="C318" s="4"/>
      <c r="D318" s="13"/>
      <c r="E318" s="14"/>
      <c r="F318" s="4" t="s">
        <v>13</v>
      </c>
      <c r="G318" s="4"/>
      <c r="H318" s="4">
        <v>5</v>
      </c>
      <c r="I318" s="4" t="s">
        <v>14</v>
      </c>
      <c r="J318" s="4"/>
      <c r="K318" s="13">
        <v>5</v>
      </c>
    </row>
    <row r="319" spans="1:11">
      <c r="A319" s="1">
        <f t="shared" si="4"/>
        <v>318</v>
      </c>
      <c r="B319" s="12">
        <v>40691390</v>
      </c>
      <c r="C319" s="4"/>
      <c r="D319" s="13"/>
      <c r="E319" s="14"/>
      <c r="F319" s="4" t="s">
        <v>13</v>
      </c>
      <c r="G319" s="4"/>
      <c r="H319" s="4">
        <v>1</v>
      </c>
      <c r="I319" s="4" t="s">
        <v>14</v>
      </c>
      <c r="J319" s="4"/>
      <c r="K319" s="13">
        <v>1</v>
      </c>
    </row>
    <row r="320" spans="1:11">
      <c r="A320" s="1">
        <f t="shared" si="4"/>
        <v>319</v>
      </c>
      <c r="B320" s="12">
        <v>40699623</v>
      </c>
      <c r="C320" s="4"/>
      <c r="D320" s="13" t="s">
        <v>361</v>
      </c>
      <c r="E320" s="14"/>
      <c r="F320" s="4" t="s">
        <v>13</v>
      </c>
      <c r="G320" s="4"/>
      <c r="H320" s="4">
        <v>100</v>
      </c>
      <c r="I320" s="4" t="s">
        <v>14</v>
      </c>
      <c r="J320" s="4"/>
      <c r="K320" s="13">
        <v>100</v>
      </c>
    </row>
    <row r="321" spans="1:11">
      <c r="A321" s="1">
        <f t="shared" si="4"/>
        <v>320</v>
      </c>
      <c r="B321" s="12">
        <v>8064733</v>
      </c>
      <c r="C321" s="4"/>
      <c r="D321" s="13"/>
      <c r="E321" s="14"/>
      <c r="F321" s="4" t="s">
        <v>13</v>
      </c>
      <c r="G321" s="4"/>
      <c r="H321" s="4">
        <v>5</v>
      </c>
      <c r="I321" s="4" t="s">
        <v>14</v>
      </c>
      <c r="J321" s="4"/>
      <c r="K321" s="13">
        <v>5</v>
      </c>
    </row>
    <row r="322" spans="1:11">
      <c r="A322" s="1">
        <f t="shared" ref="A322:A385" si="5">ROW()-1</f>
        <v>321</v>
      </c>
      <c r="B322" s="12">
        <v>13232622</v>
      </c>
      <c r="C322" s="4"/>
      <c r="D322" s="13"/>
      <c r="E322" s="14"/>
      <c r="F322" s="4" t="s">
        <v>13</v>
      </c>
      <c r="G322" s="4"/>
      <c r="H322" s="4">
        <v>5</v>
      </c>
      <c r="I322" s="4" t="s">
        <v>14</v>
      </c>
      <c r="J322" s="4"/>
      <c r="K322" s="13">
        <v>5</v>
      </c>
    </row>
    <row r="323" spans="1:11">
      <c r="A323" s="1">
        <f t="shared" si="5"/>
        <v>322</v>
      </c>
      <c r="B323" s="12">
        <v>175072</v>
      </c>
      <c r="C323" s="4"/>
      <c r="D323" s="13"/>
      <c r="E323" s="14"/>
      <c r="F323" s="4" t="s">
        <v>13</v>
      </c>
      <c r="G323" s="4"/>
      <c r="H323" s="4">
        <v>8</v>
      </c>
      <c r="I323" s="4" t="s">
        <v>14</v>
      </c>
      <c r="J323" s="4"/>
      <c r="K323" s="13">
        <v>8</v>
      </c>
    </row>
    <row r="324" spans="1:11">
      <c r="A324" s="1">
        <f t="shared" si="5"/>
        <v>323</v>
      </c>
      <c r="B324" s="12">
        <v>8064717</v>
      </c>
      <c r="C324" s="4"/>
      <c r="D324" s="13"/>
      <c r="E324" s="14"/>
      <c r="F324" s="4" t="s">
        <v>13</v>
      </c>
      <c r="G324" s="4"/>
      <c r="H324" s="4">
        <v>8</v>
      </c>
      <c r="I324" s="4" t="s">
        <v>14</v>
      </c>
      <c r="J324" s="4"/>
      <c r="K324" s="13">
        <v>8</v>
      </c>
    </row>
    <row r="325" spans="1:11">
      <c r="A325" s="1">
        <f t="shared" si="5"/>
        <v>324</v>
      </c>
      <c r="B325" s="12" t="s">
        <v>3459</v>
      </c>
      <c r="C325" s="4"/>
      <c r="D325" s="13"/>
      <c r="E325" s="14"/>
      <c r="F325" s="4" t="s">
        <v>13</v>
      </c>
      <c r="G325" s="4"/>
      <c r="H325" s="4">
        <v>5</v>
      </c>
      <c r="I325" s="4" t="s">
        <v>14</v>
      </c>
      <c r="J325" s="4"/>
      <c r="K325" s="13">
        <v>5</v>
      </c>
    </row>
    <row r="326" spans="1:11">
      <c r="A326" s="1">
        <f t="shared" si="5"/>
        <v>325</v>
      </c>
      <c r="B326" s="12">
        <v>131301749</v>
      </c>
      <c r="C326" s="4"/>
      <c r="D326" s="13"/>
      <c r="E326" s="14"/>
      <c r="F326" s="4" t="s">
        <v>13</v>
      </c>
      <c r="G326" s="4"/>
      <c r="H326" s="4">
        <v>30</v>
      </c>
      <c r="I326" s="4" t="s">
        <v>14</v>
      </c>
      <c r="J326" s="4"/>
      <c r="K326" s="13">
        <v>30</v>
      </c>
    </row>
    <row r="327" spans="1:11">
      <c r="A327" s="1">
        <f t="shared" si="5"/>
        <v>326</v>
      </c>
      <c r="B327" s="12">
        <v>131301737</v>
      </c>
      <c r="C327" s="4"/>
      <c r="D327" s="13"/>
      <c r="E327" s="14"/>
      <c r="F327" s="4" t="s">
        <v>13</v>
      </c>
      <c r="G327" s="4"/>
      <c r="H327" s="4">
        <v>30</v>
      </c>
      <c r="I327" s="4" t="s">
        <v>14</v>
      </c>
      <c r="J327" s="4"/>
      <c r="K327" s="13">
        <v>30</v>
      </c>
    </row>
    <row r="328" spans="1:11">
      <c r="A328" s="1">
        <f t="shared" si="5"/>
        <v>327</v>
      </c>
      <c r="B328" s="12">
        <v>131301719</v>
      </c>
      <c r="C328" s="4"/>
      <c r="D328" s="13"/>
      <c r="E328" s="14"/>
      <c r="F328" s="4" t="s">
        <v>13</v>
      </c>
      <c r="G328" s="4"/>
      <c r="H328" s="4">
        <v>10</v>
      </c>
      <c r="I328" s="4" t="s">
        <v>14</v>
      </c>
      <c r="J328" s="4"/>
      <c r="K328" s="13">
        <v>10</v>
      </c>
    </row>
    <row r="329" spans="1:11">
      <c r="A329" s="1">
        <f t="shared" si="5"/>
        <v>328</v>
      </c>
      <c r="B329" s="12">
        <v>131301735</v>
      </c>
      <c r="C329" s="4"/>
      <c r="D329" s="13"/>
      <c r="E329" s="14"/>
      <c r="F329" s="4" t="s">
        <v>13</v>
      </c>
      <c r="G329" s="4"/>
      <c r="H329" s="4">
        <v>30</v>
      </c>
      <c r="I329" s="4" t="s">
        <v>14</v>
      </c>
      <c r="J329" s="4"/>
      <c r="K329" s="13">
        <v>30</v>
      </c>
    </row>
    <row r="330" spans="1:11">
      <c r="A330" s="1">
        <f t="shared" si="5"/>
        <v>329</v>
      </c>
      <c r="B330" s="12">
        <v>131301724</v>
      </c>
      <c r="C330" s="4"/>
      <c r="D330" s="13"/>
      <c r="E330" s="14"/>
      <c r="F330" s="4" t="s">
        <v>13</v>
      </c>
      <c r="G330" s="4"/>
      <c r="H330" s="4">
        <v>30</v>
      </c>
      <c r="I330" s="4" t="s">
        <v>14</v>
      </c>
      <c r="J330" s="4"/>
      <c r="K330" s="13">
        <v>30</v>
      </c>
    </row>
    <row r="331" spans="1:11">
      <c r="A331" s="1">
        <f t="shared" si="5"/>
        <v>330</v>
      </c>
      <c r="B331" s="12">
        <v>131301723</v>
      </c>
      <c r="C331" s="4"/>
      <c r="D331" s="13"/>
      <c r="E331" s="14"/>
      <c r="F331" s="4" t="s">
        <v>13</v>
      </c>
      <c r="G331" s="4"/>
      <c r="H331" s="4">
        <v>30</v>
      </c>
      <c r="I331" s="4" t="s">
        <v>14</v>
      </c>
      <c r="J331" s="4"/>
      <c r="K331" s="13">
        <v>30</v>
      </c>
    </row>
    <row r="332" spans="1:11">
      <c r="A332" s="1">
        <f t="shared" si="5"/>
        <v>331</v>
      </c>
      <c r="B332" s="12">
        <v>131301716</v>
      </c>
      <c r="C332" s="4"/>
      <c r="D332" s="13"/>
      <c r="E332" s="14"/>
      <c r="F332" s="4" t="s">
        <v>13</v>
      </c>
      <c r="G332" s="4"/>
      <c r="H332" s="4">
        <v>10</v>
      </c>
      <c r="I332" s="4" t="s">
        <v>14</v>
      </c>
      <c r="J332" s="4"/>
      <c r="K332" s="13">
        <v>10</v>
      </c>
    </row>
    <row r="333" spans="1:11">
      <c r="A333" s="1">
        <f t="shared" si="5"/>
        <v>332</v>
      </c>
      <c r="B333" s="12">
        <v>131301700</v>
      </c>
      <c r="C333" s="4"/>
      <c r="D333" s="13"/>
      <c r="E333" s="14"/>
      <c r="F333" s="4" t="s">
        <v>13</v>
      </c>
      <c r="G333" s="4"/>
      <c r="H333" s="4">
        <v>20</v>
      </c>
      <c r="I333" s="4" t="s">
        <v>14</v>
      </c>
      <c r="J333" s="4"/>
      <c r="K333" s="13">
        <v>20</v>
      </c>
    </row>
    <row r="334" spans="1:11">
      <c r="A334" s="1">
        <f t="shared" si="5"/>
        <v>333</v>
      </c>
      <c r="B334" s="12">
        <v>131301712</v>
      </c>
      <c r="C334" s="4"/>
      <c r="D334" s="13"/>
      <c r="E334" s="14"/>
      <c r="F334" s="4" t="s">
        <v>13</v>
      </c>
      <c r="G334" s="4"/>
      <c r="H334" s="4">
        <v>20</v>
      </c>
      <c r="I334" s="4" t="s">
        <v>14</v>
      </c>
      <c r="J334" s="4"/>
      <c r="K334" s="13">
        <v>20</v>
      </c>
    </row>
    <row r="335" spans="1:11">
      <c r="A335" s="1">
        <f t="shared" si="5"/>
        <v>334</v>
      </c>
      <c r="B335" s="12">
        <v>140200042</v>
      </c>
      <c r="C335" s="4"/>
      <c r="D335" s="13"/>
      <c r="E335" s="14"/>
      <c r="F335" s="4" t="s">
        <v>13</v>
      </c>
      <c r="G335" s="4"/>
      <c r="H335" s="4">
        <v>20</v>
      </c>
      <c r="I335" s="4" t="s">
        <v>14</v>
      </c>
      <c r="J335" s="4"/>
      <c r="K335" s="13">
        <v>20</v>
      </c>
    </row>
    <row r="336" spans="1:11">
      <c r="A336" s="1">
        <f t="shared" si="5"/>
        <v>335</v>
      </c>
      <c r="B336" s="12">
        <v>131301710</v>
      </c>
      <c r="C336" s="4"/>
      <c r="D336" s="13"/>
      <c r="E336" s="14"/>
      <c r="F336" s="4" t="s">
        <v>13</v>
      </c>
      <c r="G336" s="4"/>
      <c r="H336" s="4">
        <v>20</v>
      </c>
      <c r="I336" s="4" t="s">
        <v>14</v>
      </c>
      <c r="J336" s="4"/>
      <c r="K336" s="13">
        <v>20</v>
      </c>
    </row>
    <row r="337" spans="1:11">
      <c r="A337" s="1">
        <f t="shared" si="5"/>
        <v>336</v>
      </c>
      <c r="B337" s="12">
        <v>140200037</v>
      </c>
      <c r="C337" s="4"/>
      <c r="D337" s="13"/>
      <c r="E337" s="14"/>
      <c r="F337" s="4" t="s">
        <v>13</v>
      </c>
      <c r="G337" s="4"/>
      <c r="H337" s="4">
        <v>20</v>
      </c>
      <c r="I337" s="4" t="s">
        <v>14</v>
      </c>
      <c r="J337" s="4"/>
      <c r="K337" s="13">
        <v>20</v>
      </c>
    </row>
    <row r="338" spans="1:11">
      <c r="A338" s="1">
        <f t="shared" si="5"/>
        <v>337</v>
      </c>
      <c r="B338" s="12">
        <v>140200038</v>
      </c>
      <c r="C338" s="4"/>
      <c r="D338" s="13"/>
      <c r="E338" s="14"/>
      <c r="F338" s="4" t="s">
        <v>13</v>
      </c>
      <c r="G338" s="4"/>
      <c r="H338" s="4">
        <v>20</v>
      </c>
      <c r="I338" s="4" t="s">
        <v>14</v>
      </c>
      <c r="J338" s="4"/>
      <c r="K338" s="13">
        <v>20</v>
      </c>
    </row>
    <row r="339" spans="1:11">
      <c r="A339" s="1">
        <f t="shared" si="5"/>
        <v>338</v>
      </c>
      <c r="B339" s="12">
        <v>131301708</v>
      </c>
      <c r="C339" s="4"/>
      <c r="D339" s="13"/>
      <c r="E339" s="14"/>
      <c r="F339" s="4" t="s">
        <v>13</v>
      </c>
      <c r="G339" s="4"/>
      <c r="H339" s="4">
        <v>20</v>
      </c>
      <c r="I339" s="4" t="s">
        <v>14</v>
      </c>
      <c r="J339" s="4"/>
      <c r="K339" s="13">
        <v>20</v>
      </c>
    </row>
    <row r="340" spans="1:11">
      <c r="A340" s="1">
        <f t="shared" si="5"/>
        <v>339</v>
      </c>
      <c r="B340" s="12">
        <v>140200040</v>
      </c>
      <c r="C340" s="4"/>
      <c r="D340" s="13"/>
      <c r="E340" s="14"/>
      <c r="F340" s="4" t="s">
        <v>13</v>
      </c>
      <c r="G340" s="4"/>
      <c r="H340" s="4">
        <v>20</v>
      </c>
      <c r="I340" s="4" t="s">
        <v>14</v>
      </c>
      <c r="J340" s="4"/>
      <c r="K340" s="13">
        <v>20</v>
      </c>
    </row>
    <row r="341" spans="1:11">
      <c r="A341" s="1">
        <f t="shared" si="5"/>
        <v>340</v>
      </c>
      <c r="B341" s="12">
        <v>140200034</v>
      </c>
      <c r="C341" s="4"/>
      <c r="D341" s="13"/>
      <c r="E341" s="14"/>
      <c r="F341" s="4" t="s">
        <v>13</v>
      </c>
      <c r="G341" s="4"/>
      <c r="H341" s="4">
        <v>20</v>
      </c>
      <c r="I341" s="4" t="s">
        <v>14</v>
      </c>
      <c r="J341" s="4"/>
      <c r="K341" s="13">
        <v>20</v>
      </c>
    </row>
    <row r="342" spans="1:11">
      <c r="A342" s="1">
        <f t="shared" si="5"/>
        <v>341</v>
      </c>
      <c r="B342" s="12">
        <v>131301713</v>
      </c>
      <c r="C342" s="4"/>
      <c r="D342" s="13"/>
      <c r="E342" s="14"/>
      <c r="F342" s="4" t="s">
        <v>13</v>
      </c>
      <c r="G342" s="4"/>
      <c r="H342" s="4">
        <v>20</v>
      </c>
      <c r="I342" s="4" t="s">
        <v>14</v>
      </c>
      <c r="J342" s="4"/>
      <c r="K342" s="13">
        <v>20</v>
      </c>
    </row>
    <row r="343" spans="1:11">
      <c r="A343" s="1">
        <f t="shared" si="5"/>
        <v>342</v>
      </c>
      <c r="B343" s="12">
        <v>131301769</v>
      </c>
      <c r="C343" s="4"/>
      <c r="D343" s="13"/>
      <c r="E343" s="14"/>
      <c r="F343" s="4" t="s">
        <v>13</v>
      </c>
      <c r="G343" s="4"/>
      <c r="H343" s="4">
        <v>1905</v>
      </c>
      <c r="I343" s="4" t="s">
        <v>14</v>
      </c>
      <c r="J343" s="4"/>
      <c r="K343" s="13">
        <v>1905</v>
      </c>
    </row>
    <row r="344" spans="1:11">
      <c r="A344" s="1">
        <f t="shared" si="5"/>
        <v>343</v>
      </c>
      <c r="B344" s="12">
        <v>131301770</v>
      </c>
      <c r="C344" s="4"/>
      <c r="D344" s="13"/>
      <c r="E344" s="14"/>
      <c r="F344" s="4" t="s">
        <v>13</v>
      </c>
      <c r="G344" s="4"/>
      <c r="H344" s="4">
        <v>1500</v>
      </c>
      <c r="I344" s="4" t="s">
        <v>14</v>
      </c>
      <c r="J344" s="4"/>
      <c r="K344" s="13">
        <v>1500</v>
      </c>
    </row>
    <row r="345" spans="1:11">
      <c r="A345" s="1">
        <f t="shared" si="5"/>
        <v>344</v>
      </c>
      <c r="B345" s="12"/>
      <c r="C345" s="4"/>
      <c r="D345" s="13" t="s">
        <v>3461</v>
      </c>
      <c r="E345" s="14"/>
      <c r="F345" s="4" t="s">
        <v>13</v>
      </c>
      <c r="G345" s="4"/>
      <c r="H345" s="4">
        <v>900</v>
      </c>
      <c r="I345" s="4" t="s">
        <v>14</v>
      </c>
      <c r="J345" s="4"/>
      <c r="K345" s="13">
        <v>900</v>
      </c>
    </row>
    <row r="346" spans="1:11">
      <c r="A346" s="1">
        <f t="shared" si="5"/>
        <v>345</v>
      </c>
      <c r="B346" s="12">
        <v>131301770</v>
      </c>
      <c r="C346" s="4"/>
      <c r="D346" s="13"/>
      <c r="E346" s="14"/>
      <c r="F346" s="4" t="s">
        <v>13</v>
      </c>
      <c r="G346" s="4"/>
      <c r="H346" s="4">
        <v>3000</v>
      </c>
      <c r="I346" s="4" t="s">
        <v>14</v>
      </c>
      <c r="J346" s="4"/>
      <c r="K346" s="13">
        <v>3000</v>
      </c>
    </row>
    <row r="347" spans="1:11">
      <c r="A347" s="1">
        <f t="shared" si="5"/>
        <v>346</v>
      </c>
      <c r="B347" s="12">
        <v>8064571</v>
      </c>
      <c r="C347" s="4"/>
      <c r="D347" s="13"/>
      <c r="E347" s="14"/>
      <c r="F347" s="4" t="s">
        <v>13</v>
      </c>
      <c r="G347" s="4"/>
      <c r="H347" s="4">
        <v>5</v>
      </c>
      <c r="I347" s="4" t="s">
        <v>14</v>
      </c>
      <c r="J347" s="4"/>
      <c r="K347" s="13">
        <v>5</v>
      </c>
    </row>
    <row r="348" spans="1:11">
      <c r="A348" s="1">
        <f t="shared" si="5"/>
        <v>347</v>
      </c>
      <c r="B348" s="12"/>
      <c r="C348" s="4"/>
      <c r="D348" s="13"/>
      <c r="E348" s="14"/>
      <c r="F348" s="4"/>
      <c r="G348" s="4"/>
      <c r="H348" s="4"/>
      <c r="I348" s="4"/>
      <c r="J348" s="4"/>
      <c r="K348" s="13"/>
    </row>
    <row r="349" spans="1:11">
      <c r="A349" s="1">
        <f t="shared" si="5"/>
        <v>348</v>
      </c>
      <c r="B349" s="12"/>
      <c r="C349" s="4"/>
      <c r="D349" s="13"/>
      <c r="E349" s="14"/>
      <c r="F349" s="4"/>
      <c r="G349" s="4"/>
      <c r="H349" s="4"/>
      <c r="I349" s="4"/>
      <c r="J349" s="4"/>
      <c r="K349" s="13"/>
    </row>
    <row r="350" spans="1:11">
      <c r="A350" s="1">
        <f t="shared" si="5"/>
        <v>349</v>
      </c>
      <c r="B350" s="12"/>
      <c r="C350" s="4"/>
      <c r="D350" s="13"/>
      <c r="E350" s="14"/>
      <c r="F350" s="4"/>
      <c r="G350" s="4"/>
      <c r="H350" s="4"/>
      <c r="I350" s="4"/>
      <c r="J350" s="4"/>
      <c r="K350" s="13"/>
    </row>
    <row r="351" spans="1:11">
      <c r="A351" s="1">
        <f t="shared" si="5"/>
        <v>350</v>
      </c>
      <c r="B351" s="12">
        <v>171002818</v>
      </c>
      <c r="C351" s="4"/>
      <c r="D351" s="13"/>
      <c r="E351" s="14"/>
      <c r="F351" s="4" t="s">
        <v>13</v>
      </c>
      <c r="G351" s="4"/>
      <c r="H351" s="4">
        <v>15</v>
      </c>
      <c r="I351" s="4" t="s">
        <v>14</v>
      </c>
      <c r="J351" s="4"/>
      <c r="K351" s="13">
        <v>15</v>
      </c>
    </row>
    <row r="352" spans="1:11">
      <c r="A352" s="1">
        <f t="shared" si="5"/>
        <v>351</v>
      </c>
      <c r="B352" s="12">
        <v>40799691</v>
      </c>
      <c r="C352" s="4"/>
      <c r="D352" s="13"/>
      <c r="E352" s="14"/>
      <c r="F352" s="4" t="s">
        <v>13</v>
      </c>
      <c r="G352" s="4"/>
      <c r="H352" s="4">
        <v>2</v>
      </c>
      <c r="I352" s="4" t="s">
        <v>14</v>
      </c>
      <c r="J352" s="4"/>
      <c r="K352" s="13">
        <v>2</v>
      </c>
    </row>
    <row r="353" spans="1:11">
      <c r="A353" s="1">
        <f t="shared" si="5"/>
        <v>352</v>
      </c>
      <c r="B353" s="12">
        <v>40790341</v>
      </c>
      <c r="C353" s="4"/>
      <c r="D353" s="13"/>
      <c r="E353" s="14"/>
      <c r="F353" s="4" t="s">
        <v>13</v>
      </c>
      <c r="G353" s="4"/>
      <c r="H353" s="4">
        <v>2</v>
      </c>
      <c r="I353" s="4" t="s">
        <v>14</v>
      </c>
      <c r="J353" s="4"/>
      <c r="K353" s="13">
        <v>2</v>
      </c>
    </row>
    <row r="354" spans="1:11">
      <c r="A354" s="1">
        <f t="shared" si="5"/>
        <v>353</v>
      </c>
      <c r="B354" s="12">
        <v>40747840</v>
      </c>
      <c r="C354" s="4"/>
      <c r="D354" s="13"/>
      <c r="E354" s="14"/>
      <c r="F354" s="4" t="s">
        <v>13</v>
      </c>
      <c r="G354" s="4"/>
      <c r="H354" s="4">
        <v>7</v>
      </c>
      <c r="I354" s="4" t="s">
        <v>14</v>
      </c>
      <c r="J354" s="4"/>
      <c r="K354" s="13" t="s">
        <v>3470</v>
      </c>
    </row>
    <row r="355" spans="1:11">
      <c r="A355" s="1">
        <f t="shared" si="5"/>
        <v>354</v>
      </c>
      <c r="B355" s="12" t="s">
        <v>3459</v>
      </c>
      <c r="C355" s="4"/>
      <c r="D355" s="13"/>
      <c r="E355" s="14"/>
      <c r="F355" s="4" t="s">
        <v>13</v>
      </c>
      <c r="G355" s="4"/>
      <c r="H355" s="4">
        <v>5</v>
      </c>
      <c r="I355" s="4" t="s">
        <v>14</v>
      </c>
      <c r="J355" s="4"/>
      <c r="K355" s="13">
        <v>5</v>
      </c>
    </row>
    <row r="356" spans="1:11">
      <c r="A356" s="1">
        <f t="shared" si="5"/>
        <v>355</v>
      </c>
      <c r="B356" s="12">
        <v>175072</v>
      </c>
      <c r="C356" s="4"/>
      <c r="D356" s="13"/>
      <c r="E356" s="14"/>
      <c r="F356" s="4" t="s">
        <v>13</v>
      </c>
      <c r="G356" s="4"/>
      <c r="H356" s="4">
        <v>8</v>
      </c>
      <c r="I356" s="4" t="s">
        <v>14</v>
      </c>
      <c r="J356" s="4"/>
      <c r="K356" s="13">
        <v>8</v>
      </c>
    </row>
    <row r="357" spans="1:11">
      <c r="A357" s="1">
        <f t="shared" si="5"/>
        <v>356</v>
      </c>
      <c r="B357" s="12">
        <v>8064717</v>
      </c>
      <c r="C357" s="4"/>
      <c r="D357" s="13"/>
      <c r="E357" s="14"/>
      <c r="F357" s="4" t="s">
        <v>13</v>
      </c>
      <c r="G357" s="4"/>
      <c r="H357" s="4">
        <v>8</v>
      </c>
      <c r="I357" s="4" t="s">
        <v>14</v>
      </c>
      <c r="J357" s="4"/>
      <c r="K357" s="13">
        <v>8</v>
      </c>
    </row>
    <row r="358" spans="1:11">
      <c r="A358" s="1">
        <f t="shared" si="5"/>
        <v>357</v>
      </c>
      <c r="B358" s="12">
        <v>8064733</v>
      </c>
      <c r="C358" s="4"/>
      <c r="D358" s="13"/>
      <c r="E358" s="14"/>
      <c r="F358" s="4" t="s">
        <v>13</v>
      </c>
      <c r="G358" s="4"/>
      <c r="H358" s="4">
        <v>5</v>
      </c>
      <c r="I358" s="4" t="s">
        <v>14</v>
      </c>
      <c r="J358" s="4"/>
      <c r="K358" s="13">
        <v>5</v>
      </c>
    </row>
    <row r="359" spans="1:11">
      <c r="A359" s="1">
        <f t="shared" si="5"/>
        <v>358</v>
      </c>
      <c r="B359" s="12">
        <v>131300328</v>
      </c>
      <c r="C359" s="4"/>
      <c r="D359" s="13"/>
      <c r="E359" s="14"/>
      <c r="F359" s="4" t="s">
        <v>13</v>
      </c>
      <c r="G359" s="4"/>
      <c r="H359" s="4">
        <v>20</v>
      </c>
      <c r="I359" s="4" t="s">
        <v>14</v>
      </c>
      <c r="J359" s="4"/>
      <c r="K359" s="13">
        <v>20</v>
      </c>
    </row>
    <row r="360" spans="1:11">
      <c r="A360" s="1">
        <f t="shared" si="5"/>
        <v>359</v>
      </c>
      <c r="B360" s="12">
        <v>40778507</v>
      </c>
      <c r="C360" s="4"/>
      <c r="D360" s="13"/>
      <c r="E360" s="14"/>
      <c r="F360" s="4" t="s">
        <v>13</v>
      </c>
      <c r="G360" s="4"/>
      <c r="H360" s="4">
        <v>1</v>
      </c>
      <c r="I360" s="4" t="s">
        <v>14</v>
      </c>
      <c r="J360" s="4"/>
      <c r="K360" s="13">
        <v>1</v>
      </c>
    </row>
    <row r="361" spans="1:11">
      <c r="A361" s="1">
        <f t="shared" si="5"/>
        <v>360</v>
      </c>
      <c r="B361" s="12">
        <v>40778840</v>
      </c>
      <c r="C361" s="4"/>
      <c r="D361" s="13"/>
      <c r="E361" s="14"/>
      <c r="F361" s="4" t="s">
        <v>13</v>
      </c>
      <c r="G361" s="4"/>
      <c r="H361" s="4">
        <v>2</v>
      </c>
      <c r="I361" s="4" t="s">
        <v>14</v>
      </c>
      <c r="J361" s="4"/>
      <c r="K361" s="13">
        <v>2</v>
      </c>
    </row>
    <row r="362" spans="1:11">
      <c r="A362" s="1">
        <f t="shared" si="5"/>
        <v>361</v>
      </c>
      <c r="B362" s="12">
        <v>40691938</v>
      </c>
      <c r="C362" s="4"/>
      <c r="D362" s="13"/>
      <c r="E362" s="14"/>
      <c r="F362" s="4" t="s">
        <v>13</v>
      </c>
      <c r="G362" s="4"/>
      <c r="H362" s="4"/>
      <c r="I362" s="4" t="s">
        <v>14</v>
      </c>
      <c r="J362" s="4"/>
      <c r="K362" s="13"/>
    </row>
    <row r="363" spans="1:11">
      <c r="A363" s="1">
        <f t="shared" si="5"/>
        <v>362</v>
      </c>
      <c r="B363" s="12">
        <v>40734585</v>
      </c>
      <c r="C363" s="4"/>
      <c r="D363" s="13"/>
      <c r="E363" s="14"/>
      <c r="F363" s="4" t="s">
        <v>13</v>
      </c>
      <c r="G363" s="4"/>
      <c r="H363" s="4"/>
      <c r="I363" s="4" t="s">
        <v>14</v>
      </c>
      <c r="J363" s="4"/>
      <c r="K363" s="13"/>
    </row>
    <row r="364" spans="1:11">
      <c r="A364" s="1">
        <f t="shared" si="5"/>
        <v>363</v>
      </c>
      <c r="B364" s="12">
        <v>40734613</v>
      </c>
      <c r="C364" s="4"/>
      <c r="D364" s="13"/>
      <c r="E364" s="14"/>
      <c r="F364" s="4" t="s">
        <v>13</v>
      </c>
      <c r="G364" s="4"/>
      <c r="H364" s="4"/>
      <c r="I364" s="4" t="s">
        <v>14</v>
      </c>
      <c r="J364" s="4"/>
      <c r="K364" s="13"/>
    </row>
    <row r="365" spans="1:11">
      <c r="A365" s="1">
        <f t="shared" si="5"/>
        <v>364</v>
      </c>
      <c r="B365" s="12">
        <v>40686780</v>
      </c>
      <c r="C365" s="4"/>
      <c r="D365" s="13"/>
      <c r="E365" s="14"/>
      <c r="F365" s="4" t="s">
        <v>13</v>
      </c>
      <c r="G365" s="4"/>
      <c r="H365" s="4"/>
      <c r="I365" s="4" t="s">
        <v>14</v>
      </c>
      <c r="J365" s="4"/>
      <c r="K365" s="13"/>
    </row>
    <row r="366" spans="1:11">
      <c r="A366" s="1">
        <f t="shared" si="5"/>
        <v>365</v>
      </c>
      <c r="B366" s="12">
        <v>171000725</v>
      </c>
      <c r="C366" s="4"/>
      <c r="D366" s="13"/>
      <c r="E366" s="14"/>
      <c r="F366" s="4" t="s">
        <v>13</v>
      </c>
      <c r="G366" s="4"/>
      <c r="H366" s="4"/>
      <c r="I366" s="4" t="s">
        <v>14</v>
      </c>
      <c r="J366" s="4"/>
      <c r="K366" s="13"/>
    </row>
    <row r="367" spans="1:11">
      <c r="A367" s="1">
        <f t="shared" si="5"/>
        <v>366</v>
      </c>
      <c r="B367" s="12">
        <v>40693307</v>
      </c>
      <c r="C367" s="4"/>
      <c r="D367" s="13"/>
      <c r="E367" s="14"/>
      <c r="F367" s="4" t="s">
        <v>13</v>
      </c>
      <c r="G367" s="4"/>
      <c r="H367" s="4"/>
      <c r="I367" s="4" t="s">
        <v>14</v>
      </c>
      <c r="J367" s="4"/>
      <c r="K367" s="13"/>
    </row>
    <row r="368" spans="1:11">
      <c r="A368" s="1">
        <f t="shared" si="5"/>
        <v>367</v>
      </c>
      <c r="B368" s="12">
        <v>40780211</v>
      </c>
      <c r="C368" s="4"/>
      <c r="D368" s="13"/>
      <c r="E368" s="14"/>
      <c r="F368" s="4" t="s">
        <v>13</v>
      </c>
      <c r="G368" s="4"/>
      <c r="H368" s="4"/>
      <c r="I368" s="4" t="s">
        <v>14</v>
      </c>
      <c r="J368" s="4"/>
      <c r="K368" s="13"/>
    </row>
    <row r="369" spans="1:11">
      <c r="A369" s="1">
        <f t="shared" si="5"/>
        <v>368</v>
      </c>
      <c r="B369" s="12">
        <v>40626575</v>
      </c>
      <c r="C369" s="4"/>
      <c r="D369" s="13"/>
      <c r="E369" s="14"/>
      <c r="F369" s="4" t="s">
        <v>13</v>
      </c>
      <c r="G369" s="4"/>
      <c r="H369" s="4"/>
      <c r="I369" s="4" t="s">
        <v>14</v>
      </c>
      <c r="J369" s="4"/>
      <c r="K369" s="13"/>
    </row>
    <row r="370" spans="1:11">
      <c r="A370" s="1">
        <f t="shared" si="5"/>
        <v>369</v>
      </c>
      <c r="B370" s="12">
        <v>40766963</v>
      </c>
      <c r="C370" s="4"/>
      <c r="D370" s="13"/>
      <c r="E370" s="14"/>
      <c r="F370" s="4" t="s">
        <v>13</v>
      </c>
      <c r="G370" s="4"/>
      <c r="H370" s="4"/>
      <c r="I370" s="4" t="s">
        <v>14</v>
      </c>
      <c r="J370" s="4"/>
      <c r="K370" s="13"/>
    </row>
    <row r="371" spans="1:11">
      <c r="A371" s="1">
        <f t="shared" si="5"/>
        <v>370</v>
      </c>
      <c r="B371" s="12">
        <v>40766965</v>
      </c>
      <c r="C371" s="4"/>
      <c r="D371" s="13"/>
      <c r="E371" s="14"/>
      <c r="F371" s="4" t="s">
        <v>13</v>
      </c>
      <c r="G371" s="4"/>
      <c r="H371" s="4"/>
      <c r="I371" s="4" t="s">
        <v>14</v>
      </c>
      <c r="J371" s="4"/>
      <c r="K371" s="13"/>
    </row>
    <row r="372" spans="1:11">
      <c r="A372" s="1">
        <f t="shared" si="5"/>
        <v>371</v>
      </c>
      <c r="B372" s="12">
        <v>40714958</v>
      </c>
      <c r="C372" s="4"/>
      <c r="D372" s="13"/>
      <c r="E372" s="14"/>
      <c r="F372" s="4" t="s">
        <v>13</v>
      </c>
      <c r="G372" s="4"/>
      <c r="H372" s="4"/>
      <c r="I372" s="4" t="s">
        <v>14</v>
      </c>
      <c r="J372" s="4"/>
      <c r="K372" s="13"/>
    </row>
    <row r="373" spans="1:11">
      <c r="A373" s="1">
        <f t="shared" si="5"/>
        <v>372</v>
      </c>
      <c r="B373" s="12">
        <v>40693278</v>
      </c>
      <c r="C373" s="4"/>
      <c r="D373" s="13"/>
      <c r="E373" s="14"/>
      <c r="F373" s="4" t="s">
        <v>13</v>
      </c>
      <c r="G373" s="4"/>
      <c r="H373" s="4"/>
      <c r="I373" s="4" t="s">
        <v>14</v>
      </c>
      <c r="J373" s="4"/>
      <c r="K373" s="13"/>
    </row>
    <row r="374" spans="1:11">
      <c r="A374" s="1">
        <f t="shared" si="5"/>
        <v>373</v>
      </c>
      <c r="B374" s="12">
        <v>40741041</v>
      </c>
      <c r="C374" s="4"/>
      <c r="D374" s="13"/>
      <c r="E374" s="14"/>
      <c r="F374" s="4" t="s">
        <v>13</v>
      </c>
      <c r="G374" s="4"/>
      <c r="H374" s="4"/>
      <c r="I374" s="4" t="s">
        <v>14</v>
      </c>
      <c r="J374" s="4"/>
      <c r="K374" s="13"/>
    </row>
    <row r="375" spans="1:11">
      <c r="A375" s="1">
        <f t="shared" si="5"/>
        <v>374</v>
      </c>
      <c r="B375" s="12">
        <v>40726677</v>
      </c>
      <c r="C375" s="4"/>
      <c r="D375" s="13"/>
      <c r="E375" s="14"/>
      <c r="F375" s="4" t="s">
        <v>13</v>
      </c>
      <c r="G375" s="4"/>
      <c r="H375" s="4"/>
      <c r="I375" s="4" t="s">
        <v>14</v>
      </c>
      <c r="J375" s="4"/>
      <c r="K375" s="13"/>
    </row>
    <row r="376" spans="1:11">
      <c r="A376" s="1">
        <f t="shared" si="5"/>
        <v>375</v>
      </c>
      <c r="B376" s="12">
        <v>40627500</v>
      </c>
      <c r="C376" s="4"/>
      <c r="D376" s="13"/>
      <c r="E376" s="14"/>
      <c r="F376" s="4" t="s">
        <v>13</v>
      </c>
      <c r="G376" s="4"/>
      <c r="H376" s="4"/>
      <c r="I376" s="4" t="s">
        <v>14</v>
      </c>
      <c r="J376" s="4"/>
      <c r="K376" s="13"/>
    </row>
    <row r="377" spans="1:11">
      <c r="A377" s="1">
        <f t="shared" si="5"/>
        <v>376</v>
      </c>
      <c r="B377" s="12">
        <v>40698339</v>
      </c>
      <c r="C377" s="4"/>
      <c r="D377" s="13"/>
      <c r="E377" s="14"/>
      <c r="F377" s="4" t="s">
        <v>13</v>
      </c>
      <c r="G377" s="4"/>
      <c r="H377" s="4"/>
      <c r="I377" s="4" t="s">
        <v>14</v>
      </c>
      <c r="J377" s="4"/>
      <c r="K377" s="13"/>
    </row>
    <row r="378" spans="1:11">
      <c r="A378" s="1">
        <f t="shared" si="5"/>
        <v>377</v>
      </c>
      <c r="B378" s="12"/>
      <c r="C378" s="4"/>
      <c r="D378" s="13"/>
      <c r="E378" s="14"/>
      <c r="F378" s="4" t="s">
        <v>13</v>
      </c>
      <c r="G378" s="4"/>
      <c r="H378" s="4"/>
      <c r="I378" s="4"/>
      <c r="J378" s="4"/>
      <c r="K378" s="13"/>
    </row>
    <row r="379" spans="1:11">
      <c r="A379" s="1">
        <f t="shared" si="5"/>
        <v>378</v>
      </c>
      <c r="B379" s="12">
        <v>13232622</v>
      </c>
      <c r="C379" s="4"/>
      <c r="D379" s="13"/>
      <c r="E379" s="14"/>
      <c r="F379" s="4" t="s">
        <v>13</v>
      </c>
      <c r="G379" s="4"/>
      <c r="H379" s="4">
        <v>5</v>
      </c>
      <c r="I379" s="4" t="s">
        <v>14</v>
      </c>
      <c r="J379" s="4"/>
      <c r="K379" s="13">
        <v>5</v>
      </c>
    </row>
    <row r="380" spans="1:11">
      <c r="A380" s="1">
        <f t="shared" si="5"/>
        <v>379</v>
      </c>
      <c r="B380" s="12"/>
      <c r="C380" s="4"/>
      <c r="D380" s="13"/>
      <c r="E380" s="14"/>
      <c r="F380" s="4"/>
      <c r="G380" s="4"/>
      <c r="H380" s="4"/>
      <c r="I380" s="4"/>
      <c r="J380" s="4"/>
      <c r="K380" s="13"/>
    </row>
    <row r="381" spans="1:11">
      <c r="A381" s="1">
        <f t="shared" si="5"/>
        <v>380</v>
      </c>
      <c r="B381" s="12" t="s">
        <v>3451</v>
      </c>
      <c r="C381" s="4"/>
      <c r="D381" s="13"/>
      <c r="E381" s="14"/>
      <c r="F381" s="4" t="s">
        <v>3450</v>
      </c>
      <c r="G381" s="15"/>
      <c r="H381" s="4">
        <v>10</v>
      </c>
      <c r="I381" s="4" t="s">
        <v>14</v>
      </c>
      <c r="J381" s="15"/>
      <c r="K381" s="13">
        <v>10</v>
      </c>
    </row>
    <row r="382" spans="1:11">
      <c r="A382" s="1">
        <f t="shared" si="5"/>
        <v>381</v>
      </c>
      <c r="B382" s="12">
        <v>40693998</v>
      </c>
      <c r="C382" s="4" t="s">
        <v>362</v>
      </c>
      <c r="D382" s="13" t="s">
        <v>363</v>
      </c>
      <c r="E382" s="14" t="s">
        <v>364</v>
      </c>
      <c r="F382" s="4" t="s">
        <v>365</v>
      </c>
      <c r="G382" s="15">
        <v>7994.3</v>
      </c>
      <c r="H382" s="4">
        <v>8</v>
      </c>
      <c r="I382" s="4" t="s">
        <v>14</v>
      </c>
      <c r="J382" s="15">
        <v>63954.400000000001</v>
      </c>
      <c r="K382" s="13">
        <v>8</v>
      </c>
    </row>
    <row r="383" spans="1:11">
      <c r="A383" s="1">
        <f t="shared" si="5"/>
        <v>382</v>
      </c>
      <c r="B383" s="12">
        <v>40760842</v>
      </c>
      <c r="C383" s="4" t="s">
        <v>36</v>
      </c>
      <c r="D383" s="13" t="s">
        <v>366</v>
      </c>
      <c r="E383" s="14" t="s">
        <v>367</v>
      </c>
      <c r="F383" s="4" t="s">
        <v>368</v>
      </c>
      <c r="G383" s="15">
        <v>192.42</v>
      </c>
      <c r="H383" s="4">
        <v>2</v>
      </c>
      <c r="I383" s="4" t="s">
        <v>14</v>
      </c>
      <c r="J383" s="15">
        <v>384.84</v>
      </c>
      <c r="K383" s="13">
        <v>2</v>
      </c>
    </row>
    <row r="384" spans="1:11">
      <c r="A384" s="1">
        <f t="shared" si="5"/>
        <v>383</v>
      </c>
      <c r="B384" s="12">
        <v>40766681</v>
      </c>
      <c r="C384" s="4" t="s">
        <v>369</v>
      </c>
      <c r="D384" s="13" t="s">
        <v>370</v>
      </c>
      <c r="E384" s="14" t="s">
        <v>371</v>
      </c>
      <c r="F384" s="4" t="s">
        <v>372</v>
      </c>
      <c r="G384" s="15">
        <v>41.37</v>
      </c>
      <c r="H384" s="4">
        <v>2</v>
      </c>
      <c r="I384" s="4" t="s">
        <v>14</v>
      </c>
      <c r="J384" s="15">
        <v>82.74</v>
      </c>
      <c r="K384" s="13">
        <v>2</v>
      </c>
    </row>
    <row r="385" spans="1:11">
      <c r="A385" s="1">
        <f t="shared" si="5"/>
        <v>384</v>
      </c>
      <c r="B385" s="12">
        <v>131301019</v>
      </c>
      <c r="C385" s="4"/>
      <c r="D385" s="13"/>
      <c r="E385" s="14"/>
      <c r="F385" s="4" t="s">
        <v>374</v>
      </c>
      <c r="G385" s="15"/>
      <c r="H385" s="4">
        <v>10</v>
      </c>
      <c r="I385" s="4" t="s">
        <v>14</v>
      </c>
      <c r="J385" s="15"/>
      <c r="K385" s="13">
        <v>10</v>
      </c>
    </row>
    <row r="386" spans="1:11">
      <c r="A386" s="1">
        <f t="shared" ref="A386:A449" si="6">ROW()-1</f>
        <v>385</v>
      </c>
      <c r="B386" s="12">
        <v>40766688</v>
      </c>
      <c r="C386" s="4" t="s">
        <v>369</v>
      </c>
      <c r="D386" s="13" t="s">
        <v>370</v>
      </c>
      <c r="E386" s="14" t="s">
        <v>373</v>
      </c>
      <c r="F386" s="4" t="s">
        <v>374</v>
      </c>
      <c r="G386" s="15">
        <v>377.38</v>
      </c>
      <c r="H386" s="4">
        <v>2</v>
      </c>
      <c r="I386" s="4" t="s">
        <v>14</v>
      </c>
      <c r="J386" s="15">
        <v>754.76</v>
      </c>
      <c r="K386" s="13">
        <v>2</v>
      </c>
    </row>
    <row r="387" spans="1:11">
      <c r="A387" s="1">
        <f t="shared" si="6"/>
        <v>386</v>
      </c>
      <c r="B387" s="12">
        <v>40694896</v>
      </c>
      <c r="C387" s="4"/>
      <c r="D387" s="13" t="s">
        <v>375</v>
      </c>
      <c r="E387" s="14"/>
      <c r="F387" s="4" t="s">
        <v>376</v>
      </c>
      <c r="G387" s="15">
        <v>26.13</v>
      </c>
      <c r="H387" s="4">
        <v>4</v>
      </c>
      <c r="I387" s="4" t="s">
        <v>14</v>
      </c>
      <c r="J387" s="15">
        <v>104.52</v>
      </c>
      <c r="K387" s="13">
        <v>4</v>
      </c>
    </row>
    <row r="388" spans="1:11">
      <c r="A388" s="1">
        <f t="shared" si="6"/>
        <v>387</v>
      </c>
      <c r="B388" s="12">
        <v>40698389</v>
      </c>
      <c r="C388" s="4"/>
      <c r="D388" s="13" t="s">
        <v>377</v>
      </c>
      <c r="E388" s="14"/>
      <c r="F388" s="4" t="s">
        <v>378</v>
      </c>
      <c r="G388" s="15">
        <v>1133.0999999999999</v>
      </c>
      <c r="H388" s="4">
        <v>1</v>
      </c>
      <c r="I388" s="4" t="s">
        <v>14</v>
      </c>
      <c r="J388" s="15">
        <v>1133.0999999999999</v>
      </c>
      <c r="K388" s="13"/>
    </row>
    <row r="389" spans="1:11">
      <c r="A389" s="1">
        <f t="shared" si="6"/>
        <v>388</v>
      </c>
      <c r="B389" s="12">
        <v>40725153</v>
      </c>
      <c r="C389" s="4" t="s">
        <v>379</v>
      </c>
      <c r="D389" s="13" t="s">
        <v>380</v>
      </c>
      <c r="E389" s="14" t="s">
        <v>381</v>
      </c>
      <c r="F389" s="4" t="s">
        <v>382</v>
      </c>
      <c r="G389" s="15">
        <v>324.72000000000003</v>
      </c>
      <c r="H389" s="4">
        <v>2</v>
      </c>
      <c r="I389" s="4" t="s">
        <v>14</v>
      </c>
      <c r="J389" s="15">
        <v>649.44000000000005</v>
      </c>
      <c r="K389" s="13">
        <v>2</v>
      </c>
    </row>
    <row r="390" spans="1:11">
      <c r="A390" s="1">
        <f t="shared" si="6"/>
        <v>389</v>
      </c>
      <c r="B390" s="12">
        <v>40793583</v>
      </c>
      <c r="C390" s="4" t="s">
        <v>383</v>
      </c>
      <c r="D390" s="13" t="s">
        <v>384</v>
      </c>
      <c r="E390" s="14"/>
      <c r="F390" s="4" t="s">
        <v>385</v>
      </c>
      <c r="G390" s="15">
        <v>4.2</v>
      </c>
      <c r="H390" s="4">
        <v>1</v>
      </c>
      <c r="I390" s="4" t="s">
        <v>14</v>
      </c>
      <c r="J390" s="15">
        <v>4.2</v>
      </c>
      <c r="K390" s="13">
        <v>1</v>
      </c>
    </row>
    <row r="391" spans="1:11">
      <c r="A391" s="1">
        <f t="shared" si="6"/>
        <v>390</v>
      </c>
      <c r="B391" s="12" t="s">
        <v>386</v>
      </c>
      <c r="C391" s="4"/>
      <c r="D391" s="13" t="s">
        <v>387</v>
      </c>
      <c r="E391" s="14"/>
      <c r="F391" s="4" t="s">
        <v>388</v>
      </c>
      <c r="G391" s="4"/>
      <c r="H391" s="4">
        <v>1</v>
      </c>
      <c r="I391" s="4" t="s">
        <v>14</v>
      </c>
      <c r="J391" s="4"/>
      <c r="K391" s="13"/>
    </row>
    <row r="392" spans="1:11">
      <c r="A392" s="1">
        <f t="shared" si="6"/>
        <v>391</v>
      </c>
      <c r="B392" s="12">
        <v>131301007</v>
      </c>
      <c r="C392" s="4"/>
      <c r="D392" s="13"/>
      <c r="E392" s="14"/>
      <c r="F392" s="4" t="s">
        <v>388</v>
      </c>
      <c r="G392" s="4"/>
      <c r="H392" s="4">
        <v>10</v>
      </c>
      <c r="I392" s="4" t="s">
        <v>14</v>
      </c>
      <c r="J392" s="4"/>
      <c r="K392" s="13">
        <v>10</v>
      </c>
    </row>
    <row r="393" spans="1:11">
      <c r="A393" s="1">
        <f t="shared" si="6"/>
        <v>392</v>
      </c>
      <c r="B393" s="12" t="s">
        <v>3453</v>
      </c>
      <c r="C393" s="4"/>
      <c r="D393" s="13"/>
      <c r="E393" s="14"/>
      <c r="F393" s="4" t="s">
        <v>3452</v>
      </c>
      <c r="G393" s="4"/>
      <c r="H393" s="4">
        <v>6</v>
      </c>
      <c r="I393" s="4" t="s">
        <v>14</v>
      </c>
      <c r="J393" s="4"/>
      <c r="K393" s="13">
        <v>6</v>
      </c>
    </row>
    <row r="394" spans="1:11">
      <c r="A394" s="1">
        <f t="shared" si="6"/>
        <v>393</v>
      </c>
      <c r="B394" s="12">
        <v>40704117</v>
      </c>
      <c r="C394" s="4"/>
      <c r="D394" s="13" t="s">
        <v>389</v>
      </c>
      <c r="E394" s="14"/>
      <c r="F394" s="4" t="s">
        <v>390</v>
      </c>
      <c r="G394" s="15">
        <v>41.94</v>
      </c>
      <c r="H394" s="4">
        <v>1</v>
      </c>
      <c r="I394" s="4" t="s">
        <v>14</v>
      </c>
      <c r="J394" s="15">
        <v>41.94</v>
      </c>
      <c r="K394" s="13">
        <v>1</v>
      </c>
    </row>
    <row r="395" spans="1:11">
      <c r="A395" s="1">
        <f t="shared" si="6"/>
        <v>394</v>
      </c>
      <c r="B395" s="12"/>
      <c r="C395" s="4"/>
      <c r="D395" s="13" t="s">
        <v>391</v>
      </c>
      <c r="E395" s="14"/>
      <c r="F395" s="4" t="s">
        <v>392</v>
      </c>
      <c r="G395" s="15" t="s">
        <v>149</v>
      </c>
      <c r="H395" s="4">
        <v>7</v>
      </c>
      <c r="I395" s="4" t="s">
        <v>14</v>
      </c>
      <c r="J395" s="15" t="s">
        <v>149</v>
      </c>
      <c r="K395" s="13"/>
    </row>
    <row r="396" spans="1:11">
      <c r="A396" s="1">
        <f t="shared" si="6"/>
        <v>395</v>
      </c>
      <c r="B396" s="12">
        <v>140200142</v>
      </c>
      <c r="C396" s="4"/>
      <c r="D396" s="13" t="s">
        <v>393</v>
      </c>
      <c r="E396" s="14"/>
      <c r="F396" s="4" t="s">
        <v>394</v>
      </c>
      <c r="G396" s="15" t="s">
        <v>149</v>
      </c>
      <c r="H396" s="4">
        <v>1</v>
      </c>
      <c r="I396" s="4" t="s">
        <v>14</v>
      </c>
      <c r="J396" s="15"/>
      <c r="K396" s="13">
        <v>1</v>
      </c>
    </row>
    <row r="397" spans="1:11">
      <c r="A397" s="1">
        <f t="shared" si="6"/>
        <v>396</v>
      </c>
      <c r="B397" s="12">
        <v>140200637</v>
      </c>
      <c r="C397" s="4"/>
      <c r="D397" s="13" t="s">
        <v>395</v>
      </c>
      <c r="E397" s="14"/>
      <c r="F397" s="4" t="s">
        <v>396</v>
      </c>
      <c r="G397" s="15">
        <v>40.33</v>
      </c>
      <c r="H397" s="4">
        <v>1</v>
      </c>
      <c r="I397" s="4" t="s">
        <v>14</v>
      </c>
      <c r="J397" s="15">
        <v>40.33</v>
      </c>
      <c r="K397" s="13">
        <v>1</v>
      </c>
    </row>
    <row r="398" spans="1:11">
      <c r="A398" s="1">
        <f t="shared" si="6"/>
        <v>397</v>
      </c>
      <c r="B398" s="12">
        <v>140200634</v>
      </c>
      <c r="C398" s="4"/>
      <c r="D398" s="13" t="s">
        <v>397</v>
      </c>
      <c r="E398" s="14"/>
      <c r="F398" s="4" t="s">
        <v>398</v>
      </c>
      <c r="G398" s="15" t="s">
        <v>149</v>
      </c>
      <c r="H398" s="4">
        <v>1</v>
      </c>
      <c r="I398" s="4" t="s">
        <v>14</v>
      </c>
      <c r="J398" s="15"/>
      <c r="K398" s="13"/>
    </row>
    <row r="399" spans="1:11">
      <c r="A399" s="1">
        <f t="shared" si="6"/>
        <v>398</v>
      </c>
      <c r="B399" s="12">
        <v>140200638</v>
      </c>
      <c r="C399" s="4"/>
      <c r="D399" s="13" t="s">
        <v>399</v>
      </c>
      <c r="E399" s="14"/>
      <c r="F399" s="4" t="s">
        <v>398</v>
      </c>
      <c r="G399" s="4"/>
      <c r="H399" s="4">
        <v>1</v>
      </c>
      <c r="I399" s="4" t="s">
        <v>313</v>
      </c>
      <c r="J399" s="4"/>
      <c r="K399" s="13">
        <v>1</v>
      </c>
    </row>
    <row r="400" spans="1:11">
      <c r="A400" s="1">
        <f t="shared" si="6"/>
        <v>399</v>
      </c>
      <c r="B400" s="12">
        <v>140200640</v>
      </c>
      <c r="C400" s="4"/>
      <c r="D400" s="13" t="s">
        <v>400</v>
      </c>
      <c r="E400" s="14"/>
      <c r="F400" s="4" t="s">
        <v>401</v>
      </c>
      <c r="G400" s="15">
        <v>40.33</v>
      </c>
      <c r="H400" s="4">
        <v>1</v>
      </c>
      <c r="I400" s="4" t="s">
        <v>14</v>
      </c>
      <c r="J400" s="15">
        <v>40.33</v>
      </c>
      <c r="K400" s="13">
        <v>1</v>
      </c>
    </row>
    <row r="401" spans="1:11">
      <c r="A401" s="1">
        <f t="shared" si="6"/>
        <v>400</v>
      </c>
      <c r="B401" s="12">
        <v>40698385</v>
      </c>
      <c r="C401" s="4" t="s">
        <v>402</v>
      </c>
      <c r="D401" s="13" t="s">
        <v>403</v>
      </c>
      <c r="E401" s="14" t="s">
        <v>404</v>
      </c>
      <c r="F401" s="4" t="s">
        <v>405</v>
      </c>
      <c r="G401" s="15">
        <v>1200.77</v>
      </c>
      <c r="H401" s="4">
        <v>5</v>
      </c>
      <c r="I401" s="4" t="s">
        <v>14</v>
      </c>
      <c r="J401" s="15">
        <v>6003.85</v>
      </c>
      <c r="K401" s="13">
        <v>5</v>
      </c>
    </row>
    <row r="402" spans="1:11">
      <c r="A402" s="1">
        <f t="shared" si="6"/>
        <v>401</v>
      </c>
      <c r="B402" s="12">
        <v>40698364</v>
      </c>
      <c r="C402" s="4" t="s">
        <v>406</v>
      </c>
      <c r="D402" s="13" t="s">
        <v>407</v>
      </c>
      <c r="E402" s="14" t="s">
        <v>408</v>
      </c>
      <c r="F402" s="4" t="s">
        <v>409</v>
      </c>
      <c r="G402" s="15">
        <v>1313.54</v>
      </c>
      <c r="H402" s="4">
        <v>1</v>
      </c>
      <c r="I402" s="4" t="s">
        <v>14</v>
      </c>
      <c r="J402" s="15">
        <v>1313.54</v>
      </c>
      <c r="K402" s="13">
        <v>1</v>
      </c>
    </row>
    <row r="403" spans="1:11">
      <c r="A403" s="1">
        <f t="shared" si="6"/>
        <v>402</v>
      </c>
      <c r="B403" s="12">
        <v>40698363</v>
      </c>
      <c r="C403" s="4" t="s">
        <v>406</v>
      </c>
      <c r="D403" s="13" t="s">
        <v>407</v>
      </c>
      <c r="E403" s="14" t="s">
        <v>410</v>
      </c>
      <c r="F403" s="4" t="s">
        <v>411</v>
      </c>
      <c r="G403" s="15">
        <v>1401.83</v>
      </c>
      <c r="H403" s="4">
        <v>1</v>
      </c>
      <c r="I403" s="4" t="s">
        <v>14</v>
      </c>
      <c r="J403" s="15">
        <v>1401.83</v>
      </c>
      <c r="K403" s="13">
        <v>1</v>
      </c>
    </row>
    <row r="404" spans="1:11">
      <c r="A404" s="1">
        <f t="shared" si="6"/>
        <v>403</v>
      </c>
      <c r="B404" s="12">
        <v>40698389</v>
      </c>
      <c r="C404" s="4" t="s">
        <v>412</v>
      </c>
      <c r="D404" s="13" t="s">
        <v>377</v>
      </c>
      <c r="E404" s="14"/>
      <c r="F404" s="4" t="s">
        <v>413</v>
      </c>
      <c r="G404" s="15">
        <v>1133.0999999999999</v>
      </c>
      <c r="H404" s="4">
        <v>4</v>
      </c>
      <c r="I404" s="4" t="s">
        <v>59</v>
      </c>
      <c r="J404" s="15">
        <v>4532.3999999999996</v>
      </c>
      <c r="K404" s="13">
        <v>4</v>
      </c>
    </row>
    <row r="405" spans="1:11">
      <c r="A405" s="1">
        <f t="shared" si="6"/>
        <v>404</v>
      </c>
      <c r="B405" s="12">
        <v>340602784</v>
      </c>
      <c r="C405" s="4"/>
      <c r="D405" s="13" t="s">
        <v>414</v>
      </c>
      <c r="E405" s="14"/>
      <c r="F405" s="4" t="s">
        <v>415</v>
      </c>
      <c r="G405" s="15">
        <v>131.72999999999999</v>
      </c>
      <c r="H405" s="4">
        <v>10</v>
      </c>
      <c r="I405" s="4" t="s">
        <v>14</v>
      </c>
      <c r="J405" s="15">
        <v>1317.3</v>
      </c>
      <c r="K405" s="13">
        <v>10</v>
      </c>
    </row>
    <row r="406" spans="1:11">
      <c r="A406" s="1">
        <f t="shared" si="6"/>
        <v>405</v>
      </c>
      <c r="B406" s="12">
        <v>40704107</v>
      </c>
      <c r="C406" s="4"/>
      <c r="D406" s="13" t="s">
        <v>416</v>
      </c>
      <c r="E406" s="14"/>
      <c r="F406" s="4" t="s">
        <v>417</v>
      </c>
      <c r="G406" s="15">
        <v>41.94</v>
      </c>
      <c r="H406" s="4">
        <v>1</v>
      </c>
      <c r="I406" s="4" t="s">
        <v>14</v>
      </c>
      <c r="J406" s="15">
        <v>41.94</v>
      </c>
      <c r="K406" s="13"/>
    </row>
    <row r="407" spans="1:11">
      <c r="A407" s="1">
        <f t="shared" si="6"/>
        <v>406</v>
      </c>
      <c r="B407" s="12">
        <v>40704136</v>
      </c>
      <c r="C407" s="4"/>
      <c r="D407" s="13" t="s">
        <v>418</v>
      </c>
      <c r="E407" s="14"/>
      <c r="F407" s="4" t="s">
        <v>419</v>
      </c>
      <c r="G407" s="15">
        <v>41.94</v>
      </c>
      <c r="H407" s="4">
        <v>1</v>
      </c>
      <c r="I407" s="4" t="s">
        <v>14</v>
      </c>
      <c r="J407" s="15">
        <v>41.94</v>
      </c>
      <c r="K407" s="13"/>
    </row>
    <row r="408" spans="1:11">
      <c r="A408" s="1">
        <f t="shared" si="6"/>
        <v>407</v>
      </c>
      <c r="B408" s="12">
        <v>40704124</v>
      </c>
      <c r="C408" s="4"/>
      <c r="D408" s="13" t="s">
        <v>420</v>
      </c>
      <c r="E408" s="14"/>
      <c r="F408" s="4" t="s">
        <v>421</v>
      </c>
      <c r="G408" s="15">
        <v>41.94</v>
      </c>
      <c r="H408" s="4">
        <v>1</v>
      </c>
      <c r="I408" s="4" t="s">
        <v>14</v>
      </c>
      <c r="J408" s="15">
        <v>41.94</v>
      </c>
      <c r="K408" s="13"/>
    </row>
    <row r="409" spans="1:11">
      <c r="A409" s="1">
        <f t="shared" si="6"/>
        <v>408</v>
      </c>
      <c r="B409" s="12">
        <v>40704127</v>
      </c>
      <c r="C409" s="4"/>
      <c r="D409" s="13" t="s">
        <v>422</v>
      </c>
      <c r="E409" s="14"/>
      <c r="F409" s="4" t="s">
        <v>423</v>
      </c>
      <c r="G409" s="15">
        <v>32.07</v>
      </c>
      <c r="H409" s="4">
        <v>5</v>
      </c>
      <c r="I409" s="4" t="s">
        <v>14</v>
      </c>
      <c r="J409" s="15">
        <v>160.35</v>
      </c>
      <c r="K409" s="13"/>
    </row>
    <row r="410" spans="1:11">
      <c r="A410" s="1">
        <f t="shared" si="6"/>
        <v>409</v>
      </c>
      <c r="B410" s="12">
        <v>40704119</v>
      </c>
      <c r="C410" s="4"/>
      <c r="D410" s="13" t="s">
        <v>424</v>
      </c>
      <c r="E410" s="14"/>
      <c r="F410" s="4" t="s">
        <v>425</v>
      </c>
      <c r="G410" s="15">
        <v>29.6</v>
      </c>
      <c r="H410" s="4">
        <v>5</v>
      </c>
      <c r="I410" s="4" t="s">
        <v>14</v>
      </c>
      <c r="J410" s="15">
        <v>148</v>
      </c>
      <c r="K410" s="13"/>
    </row>
    <row r="411" spans="1:11">
      <c r="A411" s="1">
        <f t="shared" si="6"/>
        <v>410</v>
      </c>
      <c r="B411" s="12">
        <v>140200641</v>
      </c>
      <c r="C411" s="4"/>
      <c r="D411" s="13" t="s">
        <v>426</v>
      </c>
      <c r="E411" s="14"/>
      <c r="F411" s="4" t="s">
        <v>427</v>
      </c>
      <c r="G411" s="15">
        <v>40.33</v>
      </c>
      <c r="H411" s="4">
        <v>1</v>
      </c>
      <c r="I411" s="4" t="s">
        <v>14</v>
      </c>
      <c r="J411" s="15">
        <v>40.33</v>
      </c>
      <c r="K411" s="13">
        <v>1</v>
      </c>
    </row>
    <row r="412" spans="1:11">
      <c r="A412" s="1">
        <f t="shared" si="6"/>
        <v>411</v>
      </c>
      <c r="B412" s="12">
        <v>104200591</v>
      </c>
      <c r="C412" s="4"/>
      <c r="D412" s="13" t="s">
        <v>428</v>
      </c>
      <c r="E412" s="14"/>
      <c r="F412" s="4" t="s">
        <v>429</v>
      </c>
      <c r="G412" s="15" t="s">
        <v>149</v>
      </c>
      <c r="H412" s="4">
        <v>1</v>
      </c>
      <c r="I412" s="4" t="s">
        <v>14</v>
      </c>
      <c r="J412" s="15"/>
      <c r="K412" s="13">
        <v>1</v>
      </c>
    </row>
    <row r="413" spans="1:11">
      <c r="A413" s="1">
        <f t="shared" si="6"/>
        <v>412</v>
      </c>
      <c r="B413" s="12">
        <v>140200639</v>
      </c>
      <c r="C413" s="4"/>
      <c r="D413" s="13" t="s">
        <v>430</v>
      </c>
      <c r="E413" s="14"/>
      <c r="F413" s="4" t="s">
        <v>431</v>
      </c>
      <c r="G413" s="15">
        <v>40.33</v>
      </c>
      <c r="H413" s="4">
        <v>1</v>
      </c>
      <c r="I413" s="4" t="s">
        <v>14</v>
      </c>
      <c r="J413" s="15">
        <v>40.33</v>
      </c>
      <c r="K413" s="13">
        <v>1</v>
      </c>
    </row>
    <row r="414" spans="1:11">
      <c r="A414" s="1">
        <f t="shared" si="6"/>
        <v>413</v>
      </c>
      <c r="B414" s="12">
        <v>171002818</v>
      </c>
      <c r="C414" s="4"/>
      <c r="D414" s="13" t="s">
        <v>432</v>
      </c>
      <c r="E414" s="14"/>
      <c r="F414" s="4" t="s">
        <v>433</v>
      </c>
      <c r="G414" s="15">
        <v>23.93</v>
      </c>
      <c r="H414" s="4">
        <v>15</v>
      </c>
      <c r="I414" s="4" t="s">
        <v>14</v>
      </c>
      <c r="J414" s="15">
        <v>358.95</v>
      </c>
      <c r="K414" s="13"/>
    </row>
    <row r="415" spans="1:11">
      <c r="A415" s="1">
        <f t="shared" si="6"/>
        <v>414</v>
      </c>
      <c r="B415" s="12">
        <v>40704225</v>
      </c>
      <c r="C415" s="4"/>
      <c r="D415" s="13" t="s">
        <v>434</v>
      </c>
      <c r="E415" s="14"/>
      <c r="F415" s="4" t="s">
        <v>435</v>
      </c>
      <c r="G415" s="15">
        <v>201.68</v>
      </c>
      <c r="H415" s="4">
        <v>20</v>
      </c>
      <c r="I415" s="4" t="s">
        <v>14</v>
      </c>
      <c r="J415" s="15">
        <v>4033.6</v>
      </c>
      <c r="K415" s="13">
        <v>20</v>
      </c>
    </row>
    <row r="416" spans="1:11">
      <c r="A416" s="1">
        <f t="shared" si="6"/>
        <v>415</v>
      </c>
      <c r="B416" s="12">
        <v>340602777</v>
      </c>
      <c r="C416" s="4"/>
      <c r="D416" s="13" t="s">
        <v>436</v>
      </c>
      <c r="E416" s="14"/>
      <c r="F416" s="4" t="s">
        <v>437</v>
      </c>
      <c r="G416" s="15">
        <v>647.44000000000005</v>
      </c>
      <c r="H416" s="4">
        <v>2</v>
      </c>
      <c r="I416" s="4" t="s">
        <v>14</v>
      </c>
      <c r="J416" s="15">
        <v>1294.8800000000001</v>
      </c>
      <c r="K416" s="13">
        <v>2</v>
      </c>
    </row>
    <row r="417" spans="1:11">
      <c r="A417" s="1">
        <f t="shared" si="6"/>
        <v>416</v>
      </c>
      <c r="B417" s="12">
        <v>340602786</v>
      </c>
      <c r="C417" s="4"/>
      <c r="D417" s="13" t="s">
        <v>438</v>
      </c>
      <c r="E417" s="14"/>
      <c r="F417" s="4" t="s">
        <v>439</v>
      </c>
      <c r="G417" s="15">
        <v>597.63</v>
      </c>
      <c r="H417" s="4">
        <v>3</v>
      </c>
      <c r="I417" s="4" t="s">
        <v>14</v>
      </c>
      <c r="J417" s="15">
        <v>1792.89</v>
      </c>
      <c r="K417" s="13">
        <v>3</v>
      </c>
    </row>
    <row r="418" spans="1:11">
      <c r="A418" s="1">
        <f t="shared" si="6"/>
        <v>417</v>
      </c>
      <c r="B418" s="12" t="s">
        <v>3458</v>
      </c>
      <c r="C418" s="4"/>
      <c r="D418" s="13"/>
      <c r="E418" s="14"/>
      <c r="F418" s="4" t="s">
        <v>441</v>
      </c>
      <c r="G418" s="15"/>
      <c r="H418" s="4">
        <v>10</v>
      </c>
      <c r="I418" s="4" t="s">
        <v>14</v>
      </c>
      <c r="J418" s="15"/>
      <c r="K418" s="13">
        <v>10</v>
      </c>
    </row>
    <row r="419" spans="1:11">
      <c r="A419" s="1">
        <f t="shared" si="6"/>
        <v>418</v>
      </c>
      <c r="B419" s="12">
        <v>40684096</v>
      </c>
      <c r="C419" s="4"/>
      <c r="D419" s="13" t="s">
        <v>440</v>
      </c>
      <c r="E419" s="14"/>
      <c r="F419" s="4" t="s">
        <v>441</v>
      </c>
      <c r="G419" s="15">
        <v>300.93</v>
      </c>
      <c r="H419" s="4">
        <v>2</v>
      </c>
      <c r="I419" s="4" t="s">
        <v>14</v>
      </c>
      <c r="J419" s="15">
        <v>601.86</v>
      </c>
      <c r="K419" s="13">
        <v>2</v>
      </c>
    </row>
    <row r="420" spans="1:11">
      <c r="A420" s="1">
        <f t="shared" si="6"/>
        <v>419</v>
      </c>
      <c r="B420" s="12">
        <v>342910270</v>
      </c>
      <c r="C420" s="4"/>
      <c r="D420" s="13" t="s">
        <v>442</v>
      </c>
      <c r="E420" s="14"/>
      <c r="F420" s="4" t="s">
        <v>443</v>
      </c>
      <c r="G420" s="15">
        <v>46.56</v>
      </c>
      <c r="H420" s="4">
        <v>8</v>
      </c>
      <c r="I420" s="4" t="s">
        <v>14</v>
      </c>
      <c r="J420" s="15">
        <v>372.48</v>
      </c>
      <c r="K420" s="13">
        <v>8</v>
      </c>
    </row>
    <row r="421" spans="1:11">
      <c r="A421" s="1">
        <f t="shared" si="6"/>
        <v>420</v>
      </c>
      <c r="B421" s="12">
        <v>40250289</v>
      </c>
      <c r="C421" s="4"/>
      <c r="D421" s="13" t="s">
        <v>444</v>
      </c>
      <c r="E421" s="14"/>
      <c r="F421" s="4" t="s">
        <v>445</v>
      </c>
      <c r="G421" s="15">
        <v>7.7519135802469101</v>
      </c>
      <c r="H421" s="21">
        <v>162</v>
      </c>
      <c r="I421" s="4"/>
      <c r="J421" s="15">
        <v>0</v>
      </c>
      <c r="K421" s="13">
        <v>162</v>
      </c>
    </row>
    <row r="422" spans="1:11">
      <c r="A422" s="1">
        <f t="shared" si="6"/>
        <v>421</v>
      </c>
      <c r="B422" s="12">
        <v>40704110</v>
      </c>
      <c r="C422" s="4"/>
      <c r="D422" s="13" t="s">
        <v>446</v>
      </c>
      <c r="E422" s="14"/>
      <c r="F422" s="4" t="s">
        <v>447</v>
      </c>
      <c r="G422" s="15">
        <v>29.6</v>
      </c>
      <c r="H422" s="4">
        <v>5</v>
      </c>
      <c r="I422" s="4" t="s">
        <v>14</v>
      </c>
      <c r="J422" s="15">
        <v>148</v>
      </c>
      <c r="K422" s="13"/>
    </row>
    <row r="423" spans="1:11">
      <c r="A423" s="1">
        <f t="shared" si="6"/>
        <v>422</v>
      </c>
      <c r="B423" s="12">
        <v>40704100</v>
      </c>
      <c r="C423" s="4"/>
      <c r="D423" s="13" t="s">
        <v>448</v>
      </c>
      <c r="E423" s="14"/>
      <c r="F423" s="4" t="s">
        <v>449</v>
      </c>
      <c r="G423" s="15">
        <v>29.6</v>
      </c>
      <c r="H423" s="4">
        <v>5</v>
      </c>
      <c r="I423" s="4" t="s">
        <v>14</v>
      </c>
      <c r="J423" s="15">
        <v>148</v>
      </c>
      <c r="K423" s="13"/>
    </row>
    <row r="424" spans="1:11">
      <c r="A424" s="1">
        <f t="shared" si="6"/>
        <v>423</v>
      </c>
      <c r="B424" s="12">
        <v>342910272</v>
      </c>
      <c r="C424" s="4"/>
      <c r="D424" s="13" t="s">
        <v>450</v>
      </c>
      <c r="E424" s="14"/>
      <c r="F424" s="4" t="s">
        <v>451</v>
      </c>
      <c r="G424" s="15">
        <v>370.75</v>
      </c>
      <c r="H424" s="4">
        <v>6</v>
      </c>
      <c r="I424" s="4" t="s">
        <v>14</v>
      </c>
      <c r="J424" s="15">
        <v>2224.5</v>
      </c>
      <c r="K424" s="13"/>
    </row>
    <row r="425" spans="1:11">
      <c r="A425" s="1">
        <f t="shared" si="6"/>
        <v>424</v>
      </c>
      <c r="B425" s="12">
        <v>342910359</v>
      </c>
      <c r="C425" s="4"/>
      <c r="D425" s="13" t="s">
        <v>452</v>
      </c>
      <c r="E425" s="14"/>
      <c r="F425" s="4" t="s">
        <v>453</v>
      </c>
      <c r="G425" s="15">
        <v>115.29</v>
      </c>
      <c r="H425" s="4">
        <v>4</v>
      </c>
      <c r="I425" s="4" t="s">
        <v>14</v>
      </c>
      <c r="J425" s="15">
        <v>461.16</v>
      </c>
      <c r="K425" s="13"/>
    </row>
    <row r="426" spans="1:11">
      <c r="A426" s="1">
        <f t="shared" si="6"/>
        <v>425</v>
      </c>
      <c r="B426" s="12">
        <v>342910327</v>
      </c>
      <c r="C426" s="4"/>
      <c r="D426" s="13" t="s">
        <v>454</v>
      </c>
      <c r="E426" s="14"/>
      <c r="F426" s="4" t="s">
        <v>455</v>
      </c>
      <c r="G426" s="15">
        <v>149.29</v>
      </c>
      <c r="H426" s="4">
        <v>2</v>
      </c>
      <c r="I426" s="4" t="s">
        <v>14</v>
      </c>
      <c r="J426" s="15">
        <v>298.58</v>
      </c>
      <c r="K426" s="13"/>
    </row>
    <row r="427" spans="1:11">
      <c r="A427" s="1">
        <f t="shared" si="6"/>
        <v>426</v>
      </c>
      <c r="B427" s="12">
        <v>40760837</v>
      </c>
      <c r="C427" s="4" t="s">
        <v>10</v>
      </c>
      <c r="D427" s="13" t="s">
        <v>456</v>
      </c>
      <c r="E427" s="14" t="s">
        <v>457</v>
      </c>
      <c r="F427" s="4" t="s">
        <v>458</v>
      </c>
      <c r="G427" s="15">
        <v>385.94</v>
      </c>
      <c r="H427" s="4">
        <v>2</v>
      </c>
      <c r="I427" s="4" t="s">
        <v>14</v>
      </c>
      <c r="J427" s="15">
        <v>771.88</v>
      </c>
      <c r="K427" s="13">
        <v>2</v>
      </c>
    </row>
    <row r="428" spans="1:11">
      <c r="A428" s="1">
        <f t="shared" si="6"/>
        <v>427</v>
      </c>
      <c r="B428" s="12">
        <v>40937105</v>
      </c>
      <c r="C428" s="4"/>
      <c r="D428" s="13"/>
      <c r="E428" s="14"/>
      <c r="F428" s="4" t="s">
        <v>459</v>
      </c>
      <c r="G428" s="15" t="s">
        <v>149</v>
      </c>
      <c r="H428" s="4">
        <v>1</v>
      </c>
      <c r="I428" s="4" t="s">
        <v>14</v>
      </c>
      <c r="J428" s="15" t="s">
        <v>149</v>
      </c>
      <c r="K428" s="13">
        <v>1</v>
      </c>
    </row>
    <row r="429" spans="1:11">
      <c r="A429" s="1">
        <f t="shared" si="6"/>
        <v>428</v>
      </c>
      <c r="B429" s="12">
        <v>40248698</v>
      </c>
      <c r="C429" s="4"/>
      <c r="D429" s="13" t="s">
        <v>460</v>
      </c>
      <c r="E429" s="14"/>
      <c r="F429" s="4" t="s">
        <v>461</v>
      </c>
      <c r="G429" s="15">
        <v>6.7922000000000002</v>
      </c>
      <c r="H429" s="4">
        <v>48</v>
      </c>
      <c r="I429" s="4" t="s">
        <v>14</v>
      </c>
      <c r="J429" s="15">
        <v>326.0256</v>
      </c>
      <c r="K429" s="13">
        <v>48</v>
      </c>
    </row>
    <row r="430" spans="1:11">
      <c r="A430" s="1">
        <f t="shared" si="6"/>
        <v>429</v>
      </c>
      <c r="B430" s="12">
        <v>160702127</v>
      </c>
      <c r="C430" s="4"/>
      <c r="D430" s="13" t="s">
        <v>462</v>
      </c>
      <c r="E430" s="14"/>
      <c r="F430" s="4" t="s">
        <v>463</v>
      </c>
      <c r="G430" s="15">
        <v>395</v>
      </c>
      <c r="H430" s="4">
        <v>3</v>
      </c>
      <c r="I430" s="4" t="s">
        <v>14</v>
      </c>
      <c r="J430" s="15">
        <v>790</v>
      </c>
      <c r="K430" s="13">
        <v>3</v>
      </c>
    </row>
    <row r="431" spans="1:11">
      <c r="A431" s="1">
        <f t="shared" si="6"/>
        <v>430</v>
      </c>
      <c r="B431" s="12">
        <v>340602776</v>
      </c>
      <c r="C431" s="4"/>
      <c r="D431" s="13" t="s">
        <v>465</v>
      </c>
      <c r="E431" s="14"/>
      <c r="F431" s="4" t="s">
        <v>464</v>
      </c>
      <c r="G431" s="15">
        <v>762.98</v>
      </c>
      <c r="H431" s="4">
        <v>4</v>
      </c>
      <c r="I431" s="4" t="s">
        <v>59</v>
      </c>
      <c r="J431" s="15">
        <v>3051.92</v>
      </c>
      <c r="K431" s="13">
        <v>4</v>
      </c>
    </row>
    <row r="432" spans="1:11">
      <c r="A432" s="1">
        <f t="shared" si="6"/>
        <v>431</v>
      </c>
      <c r="B432" s="12">
        <v>40760838</v>
      </c>
      <c r="C432" s="4" t="s">
        <v>10</v>
      </c>
      <c r="D432" s="13" t="s">
        <v>466</v>
      </c>
      <c r="E432" s="14" t="s">
        <v>467</v>
      </c>
      <c r="F432" s="4" t="s">
        <v>468</v>
      </c>
      <c r="G432" s="15">
        <v>227.72</v>
      </c>
      <c r="H432" s="4">
        <v>2</v>
      </c>
      <c r="I432" s="4" t="s">
        <v>14</v>
      </c>
      <c r="J432" s="15">
        <v>455.44</v>
      </c>
      <c r="K432" s="13">
        <v>2</v>
      </c>
    </row>
    <row r="433" spans="1:11">
      <c r="A433" s="1">
        <f t="shared" si="6"/>
        <v>432</v>
      </c>
      <c r="B433" s="12">
        <v>40787765</v>
      </c>
      <c r="C433" s="4"/>
      <c r="D433" s="13" t="s">
        <v>469</v>
      </c>
      <c r="E433" s="14"/>
      <c r="F433" s="4" t="s">
        <v>470</v>
      </c>
      <c r="G433" s="15">
        <v>350.81</v>
      </c>
      <c r="H433" s="4">
        <v>2</v>
      </c>
      <c r="I433" s="4" t="s">
        <v>14</v>
      </c>
      <c r="J433" s="15">
        <v>701.62</v>
      </c>
      <c r="K433" s="13">
        <v>2</v>
      </c>
    </row>
    <row r="434" spans="1:11">
      <c r="A434" s="1">
        <f t="shared" si="6"/>
        <v>433</v>
      </c>
      <c r="B434" s="12">
        <v>340602780</v>
      </c>
      <c r="C434" s="4"/>
      <c r="D434" s="13" t="s">
        <v>471</v>
      </c>
      <c r="E434" s="14"/>
      <c r="F434" s="4" t="s">
        <v>472</v>
      </c>
      <c r="G434" s="15">
        <v>87.15</v>
      </c>
      <c r="H434" s="4">
        <v>1</v>
      </c>
      <c r="I434" s="4" t="s">
        <v>287</v>
      </c>
      <c r="J434" s="15">
        <v>87.15</v>
      </c>
      <c r="K434" s="13"/>
    </row>
    <row r="435" spans="1:11">
      <c r="A435" s="1">
        <f t="shared" si="6"/>
        <v>434</v>
      </c>
      <c r="B435" s="12">
        <v>40625880</v>
      </c>
      <c r="C435" s="4"/>
      <c r="D435" s="13" t="s">
        <v>473</v>
      </c>
      <c r="E435" s="14"/>
      <c r="F435" s="4" t="s">
        <v>474</v>
      </c>
      <c r="G435" s="4"/>
      <c r="H435" s="4">
        <v>20</v>
      </c>
      <c r="I435" s="4" t="s">
        <v>14</v>
      </c>
      <c r="J435" s="4"/>
      <c r="K435" s="13"/>
    </row>
    <row r="436" spans="1:11">
      <c r="A436" s="1">
        <f t="shared" si="6"/>
        <v>435</v>
      </c>
      <c r="B436" s="12">
        <v>340602782</v>
      </c>
      <c r="C436" s="4"/>
      <c r="D436" s="13" t="s">
        <v>475</v>
      </c>
      <c r="E436" s="14"/>
      <c r="F436" s="4" t="s">
        <v>476</v>
      </c>
      <c r="G436" s="15">
        <v>215.4</v>
      </c>
      <c r="H436" s="4">
        <v>3</v>
      </c>
      <c r="I436" s="4" t="s">
        <v>14</v>
      </c>
      <c r="J436" s="15">
        <v>646.20000000000005</v>
      </c>
      <c r="K436" s="13"/>
    </row>
    <row r="437" spans="1:11">
      <c r="A437" s="1">
        <f t="shared" si="6"/>
        <v>436</v>
      </c>
      <c r="B437" s="12" t="s">
        <v>477</v>
      </c>
      <c r="C437" s="4"/>
      <c r="D437" s="13"/>
      <c r="E437" s="14"/>
      <c r="F437" s="4" t="s">
        <v>478</v>
      </c>
      <c r="G437" s="4"/>
      <c r="H437" s="4">
        <v>10</v>
      </c>
      <c r="I437" s="4" t="s">
        <v>14</v>
      </c>
      <c r="J437" s="4"/>
      <c r="K437" s="13"/>
    </row>
    <row r="438" spans="1:11">
      <c r="A438" s="1">
        <f t="shared" si="6"/>
        <v>437</v>
      </c>
      <c r="B438" s="12">
        <v>40622856</v>
      </c>
      <c r="C438" s="4"/>
      <c r="D438" s="13" t="s">
        <v>479</v>
      </c>
      <c r="E438" s="14"/>
      <c r="F438" s="4" t="s">
        <v>480</v>
      </c>
      <c r="G438" s="4"/>
      <c r="H438" s="4">
        <v>2</v>
      </c>
      <c r="I438" s="4" t="s">
        <v>14</v>
      </c>
      <c r="J438" s="4"/>
      <c r="K438" s="13"/>
    </row>
    <row r="439" spans="1:11">
      <c r="A439" s="1">
        <f t="shared" si="6"/>
        <v>438</v>
      </c>
      <c r="B439" s="12">
        <v>40622857</v>
      </c>
      <c r="C439" s="4"/>
      <c r="D439" s="13" t="s">
        <v>481</v>
      </c>
      <c r="E439" s="14"/>
      <c r="F439" s="4" t="s">
        <v>482</v>
      </c>
      <c r="G439" s="15">
        <v>3243.53</v>
      </c>
      <c r="H439" s="4">
        <v>2</v>
      </c>
      <c r="I439" s="4" t="s">
        <v>14</v>
      </c>
      <c r="J439" s="15">
        <f>H439*G439</f>
        <v>6487.06</v>
      </c>
      <c r="K439" s="13"/>
    </row>
    <row r="440" spans="1:11">
      <c r="A440" s="1">
        <f t="shared" si="6"/>
        <v>439</v>
      </c>
      <c r="B440" s="12">
        <v>40787731</v>
      </c>
      <c r="C440" s="4"/>
      <c r="D440" s="13" t="s">
        <v>483</v>
      </c>
      <c r="E440" s="14"/>
      <c r="F440" s="4" t="s">
        <v>484</v>
      </c>
      <c r="G440" s="15">
        <v>243.47</v>
      </c>
      <c r="H440" s="4">
        <v>5</v>
      </c>
      <c r="I440" s="4" t="s">
        <v>14</v>
      </c>
      <c r="J440" s="15">
        <v>1217.3499999999999</v>
      </c>
      <c r="K440" s="13"/>
    </row>
    <row r="441" spans="1:11">
      <c r="A441" s="1">
        <f t="shared" si="6"/>
        <v>440</v>
      </c>
      <c r="B441" s="12">
        <v>40787732</v>
      </c>
      <c r="C441" s="4"/>
      <c r="D441" s="13" t="s">
        <v>483</v>
      </c>
      <c r="E441" s="14"/>
      <c r="F441" s="4" t="s">
        <v>485</v>
      </c>
      <c r="G441" s="15">
        <v>264.82</v>
      </c>
      <c r="H441" s="4">
        <v>4</v>
      </c>
      <c r="I441" s="4" t="s">
        <v>14</v>
      </c>
      <c r="J441" s="15">
        <v>1059.28</v>
      </c>
      <c r="K441" s="13"/>
    </row>
    <row r="442" spans="1:11">
      <c r="A442" s="1">
        <f t="shared" si="6"/>
        <v>441</v>
      </c>
      <c r="B442" s="12">
        <v>171002817</v>
      </c>
      <c r="C442" s="4"/>
      <c r="D442" s="13" t="s">
        <v>486</v>
      </c>
      <c r="E442" s="14"/>
      <c r="F442" s="4" t="s">
        <v>487</v>
      </c>
      <c r="G442" s="15">
        <v>9.66</v>
      </c>
      <c r="H442" s="4">
        <v>50</v>
      </c>
      <c r="I442" s="4" t="s">
        <v>14</v>
      </c>
      <c r="J442" s="15">
        <v>483</v>
      </c>
      <c r="K442" s="13"/>
    </row>
    <row r="443" spans="1:11">
      <c r="A443" s="1">
        <f t="shared" si="6"/>
        <v>442</v>
      </c>
      <c r="B443" s="12">
        <v>340602787</v>
      </c>
      <c r="C443" s="4"/>
      <c r="D443" s="13" t="s">
        <v>488</v>
      </c>
      <c r="E443" s="14"/>
      <c r="F443" s="4" t="s">
        <v>489</v>
      </c>
      <c r="G443" s="15">
        <v>0.75</v>
      </c>
      <c r="H443" s="4">
        <v>5</v>
      </c>
      <c r="I443" s="4" t="s">
        <v>14</v>
      </c>
      <c r="J443" s="15">
        <v>3.75</v>
      </c>
      <c r="K443" s="13"/>
    </row>
    <row r="444" spans="1:11">
      <c r="A444" s="1">
        <f t="shared" si="6"/>
        <v>443</v>
      </c>
      <c r="B444" s="12">
        <v>340602781</v>
      </c>
      <c r="C444" s="4"/>
      <c r="D444" s="13" t="s">
        <v>490</v>
      </c>
      <c r="E444" s="14"/>
      <c r="F444" s="4" t="s">
        <v>489</v>
      </c>
      <c r="G444" s="15">
        <v>97.11</v>
      </c>
      <c r="H444" s="4">
        <v>3</v>
      </c>
      <c r="I444" s="4" t="s">
        <v>14</v>
      </c>
      <c r="J444" s="15">
        <v>291.33</v>
      </c>
      <c r="K444" s="13"/>
    </row>
    <row r="445" spans="1:11">
      <c r="A445" s="1">
        <f t="shared" si="6"/>
        <v>444</v>
      </c>
      <c r="B445" s="12" t="s">
        <v>3454</v>
      </c>
      <c r="C445" s="4"/>
      <c r="D445" s="13"/>
      <c r="E445" s="14"/>
      <c r="F445" s="4" t="s">
        <v>492</v>
      </c>
      <c r="G445" s="15"/>
      <c r="H445" s="4">
        <v>10</v>
      </c>
      <c r="I445" s="4" t="s">
        <v>14</v>
      </c>
      <c r="J445" s="15"/>
      <c r="K445" s="13">
        <v>10</v>
      </c>
    </row>
    <row r="446" spans="1:11">
      <c r="A446" s="1">
        <f t="shared" si="6"/>
        <v>445</v>
      </c>
      <c r="B446" s="12">
        <v>340602695</v>
      </c>
      <c r="C446" s="4"/>
      <c r="D446" s="13" t="s">
        <v>491</v>
      </c>
      <c r="E446" s="14"/>
      <c r="F446" s="4" t="s">
        <v>492</v>
      </c>
      <c r="G446" s="15">
        <v>97.11</v>
      </c>
      <c r="H446" s="4">
        <v>1</v>
      </c>
      <c r="I446" s="4" t="s">
        <v>14</v>
      </c>
      <c r="J446" s="15">
        <v>97.11</v>
      </c>
      <c r="K446" s="13"/>
    </row>
    <row r="447" spans="1:11">
      <c r="A447" s="1">
        <f t="shared" si="6"/>
        <v>446</v>
      </c>
      <c r="B447" s="12">
        <v>340602783</v>
      </c>
      <c r="C447" s="4"/>
      <c r="D447" s="13" t="s">
        <v>493</v>
      </c>
      <c r="E447" s="14"/>
      <c r="F447" s="4" t="s">
        <v>492</v>
      </c>
      <c r="G447" s="15">
        <v>47.31</v>
      </c>
      <c r="H447" s="4">
        <v>5</v>
      </c>
      <c r="I447" s="4" t="s">
        <v>14</v>
      </c>
      <c r="J447" s="15">
        <v>236.55</v>
      </c>
      <c r="K447" s="13"/>
    </row>
    <row r="448" spans="1:11">
      <c r="A448" s="1">
        <f t="shared" si="6"/>
        <v>447</v>
      </c>
      <c r="B448" s="12" t="s">
        <v>3456</v>
      </c>
      <c r="C448" s="4"/>
      <c r="D448" s="13"/>
      <c r="E448" s="14"/>
      <c r="F448" s="4" t="s">
        <v>3455</v>
      </c>
      <c r="G448" s="15"/>
      <c r="H448" s="4">
        <v>10</v>
      </c>
      <c r="I448" s="4" t="s">
        <v>14</v>
      </c>
      <c r="J448" s="15"/>
      <c r="K448" s="13">
        <v>10</v>
      </c>
    </row>
    <row r="449" spans="1:198">
      <c r="A449" s="1">
        <f t="shared" si="6"/>
        <v>448</v>
      </c>
      <c r="B449" s="12">
        <v>340602700</v>
      </c>
      <c r="C449" s="4"/>
      <c r="D449" s="13" t="s">
        <v>494</v>
      </c>
      <c r="E449" s="14"/>
      <c r="F449" s="4" t="s">
        <v>495</v>
      </c>
      <c r="G449" s="15">
        <v>373.52</v>
      </c>
      <c r="H449" s="4">
        <v>1</v>
      </c>
      <c r="I449" s="4" t="s">
        <v>14</v>
      </c>
      <c r="J449" s="15">
        <v>373.52</v>
      </c>
      <c r="K449" s="13"/>
    </row>
    <row r="450" spans="1:198">
      <c r="A450" s="1">
        <f t="shared" ref="A450:A513" si="7">ROW()-1</f>
        <v>449</v>
      </c>
      <c r="B450" s="12" t="s">
        <v>3457</v>
      </c>
      <c r="C450" s="4"/>
      <c r="D450" s="13"/>
      <c r="E450" s="14"/>
      <c r="F450" s="4" t="s">
        <v>497</v>
      </c>
      <c r="G450" s="15"/>
      <c r="H450" s="4">
        <v>5</v>
      </c>
      <c r="I450" s="4" t="s">
        <v>14</v>
      </c>
      <c r="J450" s="15"/>
      <c r="K450" s="13">
        <v>5</v>
      </c>
    </row>
    <row r="451" spans="1:198">
      <c r="A451" s="1">
        <f t="shared" si="7"/>
        <v>450</v>
      </c>
      <c r="B451" s="12">
        <v>340602779</v>
      </c>
      <c r="C451" s="4"/>
      <c r="D451" s="13" t="s">
        <v>496</v>
      </c>
      <c r="E451" s="14"/>
      <c r="F451" s="4" t="s">
        <v>497</v>
      </c>
      <c r="G451" s="4"/>
      <c r="H451" s="4">
        <v>1</v>
      </c>
      <c r="I451" s="4" t="s">
        <v>287</v>
      </c>
      <c r="J451" s="4"/>
      <c r="K451" s="13"/>
    </row>
    <row r="452" spans="1:198">
      <c r="A452" s="1">
        <f t="shared" si="7"/>
        <v>451</v>
      </c>
      <c r="B452" s="12">
        <v>40725082</v>
      </c>
      <c r="C452" s="4" t="s">
        <v>498</v>
      </c>
      <c r="D452" s="13" t="s">
        <v>499</v>
      </c>
      <c r="E452" s="14" t="s">
        <v>500</v>
      </c>
      <c r="F452" s="4" t="s">
        <v>501</v>
      </c>
      <c r="G452" s="15">
        <v>343.27</v>
      </c>
      <c r="H452" s="4">
        <v>1</v>
      </c>
      <c r="I452" s="4" t="s">
        <v>14</v>
      </c>
      <c r="J452" s="15">
        <v>343.27</v>
      </c>
      <c r="K452" s="13"/>
    </row>
    <row r="453" spans="1:198">
      <c r="A453" s="1">
        <f t="shared" si="7"/>
        <v>452</v>
      </c>
      <c r="B453" s="12">
        <v>40787769</v>
      </c>
      <c r="C453" s="4"/>
      <c r="D453" s="13" t="s">
        <v>502</v>
      </c>
      <c r="E453" s="14"/>
      <c r="F453" s="4" t="s">
        <v>503</v>
      </c>
      <c r="G453" s="15">
        <v>227.07</v>
      </c>
      <c r="H453" s="4">
        <v>2</v>
      </c>
      <c r="I453" s="4" t="s">
        <v>14</v>
      </c>
      <c r="J453" s="15">
        <v>454.14</v>
      </c>
      <c r="K453" s="13"/>
    </row>
    <row r="454" spans="1:198">
      <c r="A454" s="1">
        <f t="shared" si="7"/>
        <v>453</v>
      </c>
      <c r="B454" s="12">
        <v>40787768</v>
      </c>
      <c r="C454" s="4"/>
      <c r="D454" s="13" t="s">
        <v>504</v>
      </c>
      <c r="E454" s="14"/>
      <c r="F454" s="4" t="s">
        <v>505</v>
      </c>
      <c r="G454" s="15">
        <v>260.06</v>
      </c>
      <c r="H454" s="4">
        <v>2</v>
      </c>
      <c r="I454" s="4" t="s">
        <v>14</v>
      </c>
      <c r="J454" s="15">
        <v>520.12</v>
      </c>
      <c r="K454" s="13"/>
    </row>
    <row r="455" spans="1:198">
      <c r="A455" s="1">
        <f t="shared" si="7"/>
        <v>454</v>
      </c>
      <c r="B455" s="12">
        <v>40787766</v>
      </c>
      <c r="C455" s="4"/>
      <c r="D455" s="13" t="s">
        <v>469</v>
      </c>
      <c r="E455" s="14"/>
      <c r="F455" s="4" t="s">
        <v>506</v>
      </c>
      <c r="G455" s="15">
        <v>309.44</v>
      </c>
      <c r="H455" s="4">
        <v>2</v>
      </c>
      <c r="I455" s="4" t="s">
        <v>14</v>
      </c>
      <c r="J455" s="15">
        <v>618.88</v>
      </c>
      <c r="K455" s="13"/>
    </row>
    <row r="456" spans="1:198">
      <c r="A456" s="1">
        <f t="shared" si="7"/>
        <v>455</v>
      </c>
      <c r="B456" s="12">
        <v>40787766</v>
      </c>
      <c r="C456" s="4"/>
      <c r="D456" s="13" t="s">
        <v>469</v>
      </c>
      <c r="E456" s="14"/>
      <c r="F456" s="4" t="s">
        <v>506</v>
      </c>
      <c r="G456" s="4"/>
      <c r="H456" s="4">
        <v>2</v>
      </c>
      <c r="I456" s="4" t="s">
        <v>14</v>
      </c>
      <c r="J456" s="4"/>
      <c r="K456" s="13"/>
    </row>
    <row r="457" spans="1:198">
      <c r="A457" s="1">
        <f t="shared" si="7"/>
        <v>456</v>
      </c>
      <c r="B457" s="12">
        <v>40787767</v>
      </c>
      <c r="C457" s="4"/>
      <c r="D457" s="13" t="s">
        <v>469</v>
      </c>
      <c r="E457" s="14"/>
      <c r="F457" s="4" t="s">
        <v>507</v>
      </c>
      <c r="G457" s="15">
        <v>227.07</v>
      </c>
      <c r="H457" s="4">
        <v>2</v>
      </c>
      <c r="I457" s="4" t="s">
        <v>14</v>
      </c>
      <c r="J457" s="15">
        <v>227.07</v>
      </c>
      <c r="K457" s="13">
        <v>2</v>
      </c>
    </row>
    <row r="458" spans="1:198">
      <c r="A458" s="1">
        <f t="shared" si="7"/>
        <v>457</v>
      </c>
      <c r="B458" s="12">
        <v>171002821</v>
      </c>
      <c r="C458" s="4"/>
      <c r="D458" s="13" t="s">
        <v>508</v>
      </c>
      <c r="E458" s="14"/>
      <c r="F458" s="4" t="s">
        <v>509</v>
      </c>
      <c r="G458" s="15">
        <v>10</v>
      </c>
      <c r="H458" s="4">
        <v>30</v>
      </c>
      <c r="I458" s="4" t="s">
        <v>14</v>
      </c>
      <c r="J458" s="15">
        <v>300</v>
      </c>
      <c r="K458" s="13"/>
    </row>
    <row r="459" spans="1:198">
      <c r="A459" s="1">
        <f t="shared" si="7"/>
        <v>458</v>
      </c>
      <c r="B459" s="12">
        <v>171002816</v>
      </c>
      <c r="C459" s="4"/>
      <c r="D459" s="13" t="s">
        <v>510</v>
      </c>
      <c r="E459" s="14"/>
      <c r="F459" s="4" t="s">
        <v>511</v>
      </c>
      <c r="G459" s="15">
        <v>35.89</v>
      </c>
      <c r="H459" s="4">
        <v>15</v>
      </c>
      <c r="I459" s="4" t="s">
        <v>14</v>
      </c>
      <c r="J459" s="15">
        <v>538.35</v>
      </c>
      <c r="K459" s="13"/>
    </row>
    <row r="460" spans="1:198">
      <c r="A460" s="1">
        <f t="shared" si="7"/>
        <v>459</v>
      </c>
      <c r="B460" s="12">
        <v>340602779</v>
      </c>
      <c r="C460" s="4"/>
      <c r="D460" s="13" t="s">
        <v>496</v>
      </c>
      <c r="E460" s="14"/>
      <c r="F460" s="4" t="s">
        <v>512</v>
      </c>
      <c r="G460" s="15">
        <v>121.27</v>
      </c>
      <c r="H460" s="4">
        <v>1</v>
      </c>
      <c r="I460" s="4" t="s">
        <v>287</v>
      </c>
      <c r="J460" s="15">
        <v>121.27</v>
      </c>
      <c r="K460" s="13"/>
    </row>
    <row r="461" spans="1:198" s="22" customFormat="1">
      <c r="A461" s="1">
        <f t="shared" si="7"/>
        <v>460</v>
      </c>
      <c r="B461" s="12">
        <v>342910363</v>
      </c>
      <c r="C461" s="4"/>
      <c r="D461" s="13" t="s">
        <v>513</v>
      </c>
      <c r="E461" s="14"/>
      <c r="F461" s="4" t="s">
        <v>512</v>
      </c>
      <c r="G461" s="15">
        <v>108.15</v>
      </c>
      <c r="H461" s="4">
        <v>2</v>
      </c>
      <c r="I461" s="4" t="s">
        <v>59</v>
      </c>
      <c r="J461" s="15">
        <v>216.3</v>
      </c>
      <c r="K461" s="13">
        <v>2</v>
      </c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</row>
    <row r="462" spans="1:198">
      <c r="A462" s="1">
        <f t="shared" si="7"/>
        <v>461</v>
      </c>
      <c r="B462" s="12" t="s">
        <v>514</v>
      </c>
      <c r="C462" s="4"/>
      <c r="D462" s="13" t="s">
        <v>515</v>
      </c>
      <c r="E462" s="14"/>
      <c r="F462" s="4" t="s">
        <v>516</v>
      </c>
      <c r="G462" s="15" t="s">
        <v>149</v>
      </c>
      <c r="H462" s="4">
        <v>59</v>
      </c>
      <c r="I462" s="4" t="s">
        <v>14</v>
      </c>
      <c r="J462" s="15" t="s">
        <v>149</v>
      </c>
      <c r="K462" s="13"/>
    </row>
    <row r="463" spans="1:198">
      <c r="A463" s="1">
        <f t="shared" si="7"/>
        <v>462</v>
      </c>
      <c r="B463" s="12">
        <v>40805067</v>
      </c>
      <c r="C463" s="4"/>
      <c r="D463" s="13" t="s">
        <v>517</v>
      </c>
      <c r="E463" s="14"/>
      <c r="F463" s="4" t="s">
        <v>516</v>
      </c>
      <c r="G463" s="15">
        <v>12.74</v>
      </c>
      <c r="H463" s="4">
        <v>3</v>
      </c>
      <c r="I463" s="4" t="s">
        <v>14</v>
      </c>
      <c r="J463" s="15">
        <v>63.7</v>
      </c>
      <c r="K463" s="13">
        <v>3</v>
      </c>
    </row>
    <row r="464" spans="1:198">
      <c r="A464" s="1">
        <f t="shared" si="7"/>
        <v>463</v>
      </c>
      <c r="B464" s="12">
        <v>40805068</v>
      </c>
      <c r="C464" s="4"/>
      <c r="D464" s="13" t="s">
        <v>518</v>
      </c>
      <c r="E464" s="14"/>
      <c r="F464" s="4" t="s">
        <v>519</v>
      </c>
      <c r="G464" s="15">
        <v>14.37</v>
      </c>
      <c r="H464" s="4">
        <v>5</v>
      </c>
      <c r="I464" s="4" t="s">
        <v>14</v>
      </c>
      <c r="J464" s="15">
        <v>71.849999999999994</v>
      </c>
      <c r="K464" s="13">
        <v>5</v>
      </c>
    </row>
    <row r="465" spans="1:11">
      <c r="A465" s="1">
        <f t="shared" si="7"/>
        <v>464</v>
      </c>
      <c r="B465" s="12">
        <v>40805066</v>
      </c>
      <c r="C465" s="4"/>
      <c r="D465" s="13" t="s">
        <v>520</v>
      </c>
      <c r="E465" s="14"/>
      <c r="F465" s="4" t="s">
        <v>521</v>
      </c>
      <c r="G465" s="15">
        <v>11.12</v>
      </c>
      <c r="H465" s="4">
        <v>5</v>
      </c>
      <c r="I465" s="4" t="s">
        <v>14</v>
      </c>
      <c r="J465" s="15">
        <v>100.08</v>
      </c>
      <c r="K465" s="13">
        <v>5</v>
      </c>
    </row>
    <row r="466" spans="1:11">
      <c r="A466" s="1">
        <f t="shared" si="7"/>
        <v>465</v>
      </c>
      <c r="B466" s="12">
        <v>40805069</v>
      </c>
      <c r="C466" s="4"/>
      <c r="D466" s="13" t="s">
        <v>522</v>
      </c>
      <c r="E466" s="14"/>
      <c r="F466" s="4" t="s">
        <v>523</v>
      </c>
      <c r="G466" s="15">
        <v>17.38</v>
      </c>
      <c r="H466" s="4">
        <v>10</v>
      </c>
      <c r="I466" s="4" t="s">
        <v>14</v>
      </c>
      <c r="J466" s="15">
        <v>173.8</v>
      </c>
      <c r="K466" s="13">
        <v>10</v>
      </c>
    </row>
    <row r="467" spans="1:11">
      <c r="A467" s="1">
        <f t="shared" si="7"/>
        <v>466</v>
      </c>
      <c r="B467" s="12">
        <v>40704221</v>
      </c>
      <c r="C467" s="4"/>
      <c r="D467" s="13" t="s">
        <v>524</v>
      </c>
      <c r="E467" s="14"/>
      <c r="F467" s="4" t="s">
        <v>525</v>
      </c>
      <c r="G467" s="4"/>
      <c r="H467" s="4">
        <v>4</v>
      </c>
      <c r="I467" s="4" t="s">
        <v>14</v>
      </c>
      <c r="J467" s="4"/>
      <c r="K467" s="13"/>
    </row>
    <row r="468" spans="1:11">
      <c r="A468" s="1">
        <f t="shared" si="7"/>
        <v>467</v>
      </c>
      <c r="B468" s="12">
        <v>40704209</v>
      </c>
      <c r="C468" s="4"/>
      <c r="D468" s="13" t="s">
        <v>526</v>
      </c>
      <c r="E468" s="14"/>
      <c r="F468" s="4" t="s">
        <v>525</v>
      </c>
      <c r="G468" s="4"/>
      <c r="H468" s="4">
        <v>4</v>
      </c>
      <c r="I468" s="4" t="s">
        <v>14</v>
      </c>
      <c r="J468" s="4"/>
      <c r="K468" s="13"/>
    </row>
    <row r="469" spans="1:11">
      <c r="A469" s="1">
        <f t="shared" si="7"/>
        <v>468</v>
      </c>
      <c r="B469" s="12">
        <v>40704215</v>
      </c>
      <c r="C469" s="4"/>
      <c r="D469" s="13" t="s">
        <v>527</v>
      </c>
      <c r="E469" s="14"/>
      <c r="F469" s="4" t="s">
        <v>525</v>
      </c>
      <c r="G469" s="4"/>
      <c r="H469" s="4">
        <v>4</v>
      </c>
      <c r="I469" s="4" t="s">
        <v>14</v>
      </c>
      <c r="J469" s="4"/>
      <c r="K469" s="13"/>
    </row>
    <row r="470" spans="1:11">
      <c r="A470" s="1">
        <f t="shared" si="7"/>
        <v>469</v>
      </c>
      <c r="B470" s="12">
        <v>40704203</v>
      </c>
      <c r="C470" s="4"/>
      <c r="D470" s="13" t="s">
        <v>528</v>
      </c>
      <c r="E470" s="14"/>
      <c r="F470" s="4" t="s">
        <v>525</v>
      </c>
      <c r="G470" s="4"/>
      <c r="H470" s="4">
        <v>4</v>
      </c>
      <c r="I470" s="4" t="s">
        <v>14</v>
      </c>
      <c r="J470" s="4"/>
      <c r="K470" s="13"/>
    </row>
    <row r="471" spans="1:11">
      <c r="A471" s="1">
        <f t="shared" si="7"/>
        <v>470</v>
      </c>
      <c r="B471" s="12">
        <v>40704128</v>
      </c>
      <c r="C471" s="4"/>
      <c r="D471" s="13" t="s">
        <v>529</v>
      </c>
      <c r="E471" s="14"/>
      <c r="F471" s="4" t="s">
        <v>530</v>
      </c>
      <c r="G471" s="4"/>
      <c r="H471" s="4">
        <v>10</v>
      </c>
      <c r="I471" s="4" t="s">
        <v>14</v>
      </c>
      <c r="J471" s="4"/>
      <c r="K471" s="13"/>
    </row>
    <row r="472" spans="1:11">
      <c r="A472" s="1">
        <f t="shared" si="7"/>
        <v>471</v>
      </c>
      <c r="B472" s="12">
        <v>40704111</v>
      </c>
      <c r="C472" s="4"/>
      <c r="D472" s="13" t="s">
        <v>531</v>
      </c>
      <c r="E472" s="14"/>
      <c r="F472" s="4" t="s">
        <v>530</v>
      </c>
      <c r="G472" s="4"/>
      <c r="H472" s="4">
        <v>10</v>
      </c>
      <c r="I472" s="4" t="s">
        <v>14</v>
      </c>
      <c r="J472" s="4"/>
      <c r="K472" s="13"/>
    </row>
    <row r="473" spans="1:11">
      <c r="A473" s="1">
        <f t="shared" si="7"/>
        <v>472</v>
      </c>
      <c r="B473" s="12">
        <v>40704210</v>
      </c>
      <c r="C473" s="4"/>
      <c r="D473" s="13" t="s">
        <v>532</v>
      </c>
      <c r="E473" s="14"/>
      <c r="F473" s="4" t="s">
        <v>530</v>
      </c>
      <c r="G473" s="4"/>
      <c r="H473" s="4">
        <v>10</v>
      </c>
      <c r="I473" s="4" t="s">
        <v>14</v>
      </c>
      <c r="J473" s="4"/>
      <c r="K473" s="13"/>
    </row>
    <row r="474" spans="1:11">
      <c r="A474" s="1">
        <f t="shared" si="7"/>
        <v>473</v>
      </c>
      <c r="B474" s="12">
        <v>40704120</v>
      </c>
      <c r="C474" s="4"/>
      <c r="D474" s="13" t="s">
        <v>533</v>
      </c>
      <c r="E474" s="14"/>
      <c r="F474" s="4" t="s">
        <v>530</v>
      </c>
      <c r="G474" s="4"/>
      <c r="H474" s="4">
        <v>10</v>
      </c>
      <c r="I474" s="4" t="s">
        <v>14</v>
      </c>
      <c r="J474" s="4"/>
      <c r="K474" s="13"/>
    </row>
    <row r="475" spans="1:11">
      <c r="A475" s="1">
        <f t="shared" si="7"/>
        <v>474</v>
      </c>
      <c r="B475" s="12">
        <v>40704128</v>
      </c>
      <c r="C475" s="4"/>
      <c r="D475" s="13" t="s">
        <v>529</v>
      </c>
      <c r="E475" s="14"/>
      <c r="F475" s="4" t="s">
        <v>530</v>
      </c>
      <c r="G475" s="4"/>
      <c r="H475" s="4">
        <v>5</v>
      </c>
      <c r="I475" s="4" t="s">
        <v>14</v>
      </c>
      <c r="J475" s="4"/>
      <c r="K475" s="13"/>
    </row>
    <row r="476" spans="1:11">
      <c r="A476" s="1">
        <f t="shared" si="7"/>
        <v>475</v>
      </c>
      <c r="B476" s="12">
        <v>40704204</v>
      </c>
      <c r="C476" s="4"/>
      <c r="D476" s="13" t="s">
        <v>534</v>
      </c>
      <c r="E476" s="14"/>
      <c r="F476" s="4" t="s">
        <v>530</v>
      </c>
      <c r="G476" s="4"/>
      <c r="H476" s="4">
        <v>10</v>
      </c>
      <c r="I476" s="4" t="s">
        <v>14</v>
      </c>
      <c r="J476" s="4"/>
      <c r="K476" s="13"/>
    </row>
    <row r="477" spans="1:11">
      <c r="A477" s="1">
        <f t="shared" si="7"/>
        <v>476</v>
      </c>
      <c r="B477" s="12">
        <v>40704101</v>
      </c>
      <c r="C477" s="4"/>
      <c r="D477" s="13" t="s">
        <v>533</v>
      </c>
      <c r="E477" s="14"/>
      <c r="F477" s="4" t="s">
        <v>530</v>
      </c>
      <c r="G477" s="4"/>
      <c r="H477" s="4">
        <v>10</v>
      </c>
      <c r="I477" s="4" t="s">
        <v>14</v>
      </c>
      <c r="J477" s="4"/>
      <c r="K477" s="13"/>
    </row>
    <row r="478" spans="1:11">
      <c r="A478" s="1">
        <f t="shared" si="7"/>
        <v>477</v>
      </c>
      <c r="B478" s="12">
        <v>40704116</v>
      </c>
      <c r="C478" s="4"/>
      <c r="D478" s="13" t="s">
        <v>535</v>
      </c>
      <c r="E478" s="14"/>
      <c r="F478" s="4" t="s">
        <v>530</v>
      </c>
      <c r="G478" s="4"/>
      <c r="H478" s="4">
        <v>15</v>
      </c>
      <c r="I478" s="4" t="s">
        <v>14</v>
      </c>
      <c r="J478" s="4"/>
      <c r="K478" s="13"/>
    </row>
    <row r="479" spans="1:11">
      <c r="A479" s="1">
        <f t="shared" si="7"/>
        <v>478</v>
      </c>
      <c r="B479" s="12">
        <v>342910351</v>
      </c>
      <c r="C479" s="4">
        <v>40768997</v>
      </c>
      <c r="D479" s="13" t="s">
        <v>536</v>
      </c>
      <c r="E479" s="14"/>
      <c r="F479" s="4" t="s">
        <v>537</v>
      </c>
      <c r="G479" s="15">
        <v>238.71</v>
      </c>
      <c r="H479" s="21">
        <v>1</v>
      </c>
      <c r="I479" s="4"/>
      <c r="J479" s="15">
        <v>0</v>
      </c>
      <c r="K479" s="13"/>
    </row>
    <row r="480" spans="1:11">
      <c r="A480" s="1">
        <f t="shared" si="7"/>
        <v>479</v>
      </c>
      <c r="B480" s="12">
        <v>342910261</v>
      </c>
      <c r="C480" s="4"/>
      <c r="D480" s="13" t="s">
        <v>538</v>
      </c>
      <c r="E480" s="14"/>
      <c r="F480" s="4" t="s">
        <v>539</v>
      </c>
      <c r="G480" s="15">
        <v>8.6199999999999992</v>
      </c>
      <c r="H480" s="4">
        <v>24</v>
      </c>
      <c r="I480" s="4" t="s">
        <v>14</v>
      </c>
      <c r="J480" s="15">
        <v>206.88</v>
      </c>
      <c r="K480" s="13"/>
    </row>
    <row r="481" spans="1:11">
      <c r="A481" s="1">
        <f t="shared" si="7"/>
        <v>480</v>
      </c>
      <c r="B481" s="12">
        <v>40704135</v>
      </c>
      <c r="C481" s="4"/>
      <c r="D481" s="13" t="s">
        <v>540</v>
      </c>
      <c r="E481" s="14"/>
      <c r="F481" s="4" t="s">
        <v>541</v>
      </c>
      <c r="G481" s="15">
        <v>175.16</v>
      </c>
      <c r="H481" s="4">
        <v>5</v>
      </c>
      <c r="I481" s="4" t="s">
        <v>14</v>
      </c>
      <c r="J481" s="15">
        <v>875.8</v>
      </c>
      <c r="K481" s="13"/>
    </row>
    <row r="482" spans="1:11">
      <c r="A482" s="1">
        <f t="shared" si="7"/>
        <v>481</v>
      </c>
      <c r="B482" s="12" t="s">
        <v>3449</v>
      </c>
      <c r="C482" s="4"/>
      <c r="D482" s="13"/>
      <c r="E482" s="14"/>
      <c r="F482" s="4" t="s">
        <v>542</v>
      </c>
      <c r="G482" s="15"/>
      <c r="H482" s="4">
        <v>10</v>
      </c>
      <c r="I482" s="4" t="s">
        <v>14</v>
      </c>
      <c r="J482" s="15"/>
      <c r="K482" s="13">
        <v>10</v>
      </c>
    </row>
    <row r="483" spans="1:11">
      <c r="A483" s="1">
        <f t="shared" si="7"/>
        <v>482</v>
      </c>
      <c r="B483" s="12">
        <v>40698457</v>
      </c>
      <c r="C483" s="4"/>
      <c r="D483" s="13" t="s">
        <v>377</v>
      </c>
      <c r="E483" s="14"/>
      <c r="F483" s="4" t="s">
        <v>542</v>
      </c>
      <c r="G483" s="15">
        <v>3356.83</v>
      </c>
      <c r="H483" s="4">
        <v>1</v>
      </c>
      <c r="I483" s="4" t="s">
        <v>14</v>
      </c>
      <c r="J483" s="15">
        <v>3356.83</v>
      </c>
      <c r="K483" s="13">
        <v>1</v>
      </c>
    </row>
    <row r="484" spans="1:11">
      <c r="A484" s="1">
        <f t="shared" si="7"/>
        <v>483</v>
      </c>
      <c r="B484" s="12">
        <v>40248679</v>
      </c>
      <c r="C484" s="4"/>
      <c r="D484" s="13" t="s">
        <v>543</v>
      </c>
      <c r="E484" s="14"/>
      <c r="F484" s="4" t="s">
        <v>544</v>
      </c>
      <c r="G484" s="15">
        <v>4.2222</v>
      </c>
      <c r="H484" s="4">
        <v>50</v>
      </c>
      <c r="I484" s="4" t="s">
        <v>14</v>
      </c>
      <c r="J484" s="15">
        <v>211.11</v>
      </c>
      <c r="K484" s="13">
        <v>50</v>
      </c>
    </row>
    <row r="485" spans="1:11">
      <c r="A485" s="1">
        <f t="shared" si="7"/>
        <v>484</v>
      </c>
      <c r="B485" s="12">
        <v>40248698</v>
      </c>
      <c r="C485" s="4"/>
      <c r="D485" s="13" t="s">
        <v>460</v>
      </c>
      <c r="E485" s="14"/>
      <c r="F485" s="4" t="s">
        <v>545</v>
      </c>
      <c r="G485" s="15">
        <v>6.7922000000000002</v>
      </c>
      <c r="H485" s="4">
        <v>35</v>
      </c>
      <c r="I485" s="4" t="s">
        <v>14</v>
      </c>
      <c r="J485" s="15">
        <v>237.727</v>
      </c>
      <c r="K485" s="13">
        <v>37</v>
      </c>
    </row>
    <row r="486" spans="1:11">
      <c r="A486" s="1">
        <f t="shared" si="7"/>
        <v>485</v>
      </c>
      <c r="B486" s="12">
        <v>40698460</v>
      </c>
      <c r="C486" s="4"/>
      <c r="D486" s="13" t="s">
        <v>546</v>
      </c>
      <c r="E486" s="14"/>
      <c r="F486" s="4" t="s">
        <v>547</v>
      </c>
      <c r="G486" s="15">
        <v>2532.48</v>
      </c>
      <c r="H486" s="4">
        <v>1</v>
      </c>
      <c r="I486" s="4" t="s">
        <v>14</v>
      </c>
      <c r="J486" s="15">
        <v>2532.48</v>
      </c>
      <c r="K486" s="13">
        <v>1</v>
      </c>
    </row>
    <row r="487" spans="1:11">
      <c r="A487" s="1">
        <f t="shared" si="7"/>
        <v>486</v>
      </c>
      <c r="B487" s="12">
        <v>40691941</v>
      </c>
      <c r="C487" s="4" t="s">
        <v>44</v>
      </c>
      <c r="D487" s="13" t="s">
        <v>548</v>
      </c>
      <c r="E487" s="14" t="s">
        <v>549</v>
      </c>
      <c r="F487" s="4" t="s">
        <v>550</v>
      </c>
      <c r="G487" s="15">
        <v>640.66</v>
      </c>
      <c r="H487" s="4">
        <v>1</v>
      </c>
      <c r="I487" s="4" t="s">
        <v>59</v>
      </c>
      <c r="J487" s="15">
        <v>1281.32</v>
      </c>
      <c r="K487" s="13">
        <v>1</v>
      </c>
    </row>
    <row r="488" spans="1:11">
      <c r="A488" s="1">
        <f t="shared" si="7"/>
        <v>487</v>
      </c>
      <c r="B488" s="12">
        <v>40753500</v>
      </c>
      <c r="C488" s="4" t="s">
        <v>498</v>
      </c>
      <c r="D488" s="13" t="s">
        <v>551</v>
      </c>
      <c r="E488" s="14" t="s">
        <v>552</v>
      </c>
      <c r="F488" s="4" t="s">
        <v>553</v>
      </c>
      <c r="G488" s="15">
        <v>2811.82</v>
      </c>
      <c r="H488" s="4">
        <v>2</v>
      </c>
      <c r="I488" s="4" t="s">
        <v>14</v>
      </c>
      <c r="J488" s="15">
        <v>5623.64</v>
      </c>
      <c r="K488" s="13">
        <v>2</v>
      </c>
    </row>
    <row r="489" spans="1:11">
      <c r="A489" s="1">
        <f t="shared" si="7"/>
        <v>488</v>
      </c>
      <c r="B489" s="12">
        <v>40760854</v>
      </c>
      <c r="C489" s="4" t="s">
        <v>554</v>
      </c>
      <c r="D489" s="13" t="s">
        <v>555</v>
      </c>
      <c r="E489" s="14" t="s">
        <v>556</v>
      </c>
      <c r="F489" s="4" t="s">
        <v>557</v>
      </c>
      <c r="G489" s="15">
        <v>108.11</v>
      </c>
      <c r="H489" s="4">
        <v>16</v>
      </c>
      <c r="I489" s="4" t="s">
        <v>14</v>
      </c>
      <c r="J489" s="15">
        <v>1729.76</v>
      </c>
      <c r="K489" s="13">
        <v>16</v>
      </c>
    </row>
    <row r="490" spans="1:11">
      <c r="A490" s="1">
        <f t="shared" si="7"/>
        <v>489</v>
      </c>
      <c r="B490" s="12">
        <v>40760855</v>
      </c>
      <c r="C490" s="4" t="s">
        <v>554</v>
      </c>
      <c r="D490" s="13" t="s">
        <v>558</v>
      </c>
      <c r="E490" s="14" t="s">
        <v>559</v>
      </c>
      <c r="F490" s="4" t="s">
        <v>560</v>
      </c>
      <c r="G490" s="15">
        <v>175.23</v>
      </c>
      <c r="H490" s="4">
        <v>2</v>
      </c>
      <c r="I490" s="4" t="s">
        <v>14</v>
      </c>
      <c r="J490" s="15">
        <v>350.46</v>
      </c>
      <c r="K490" s="13">
        <v>2</v>
      </c>
    </row>
    <row r="491" spans="1:11">
      <c r="A491" s="1">
        <f t="shared" si="7"/>
        <v>490</v>
      </c>
      <c r="B491" s="12"/>
      <c r="C491" s="4"/>
      <c r="D491" s="13" t="s">
        <v>561</v>
      </c>
      <c r="E491" s="14"/>
      <c r="F491" s="4" t="s">
        <v>562</v>
      </c>
      <c r="G491" s="15" t="s">
        <v>149</v>
      </c>
      <c r="H491" s="4">
        <v>50</v>
      </c>
      <c r="I491" s="4" t="s">
        <v>14</v>
      </c>
      <c r="J491" s="15" t="s">
        <v>149</v>
      </c>
      <c r="K491" s="13">
        <v>50</v>
      </c>
    </row>
    <row r="492" spans="1:11">
      <c r="A492" s="1">
        <f t="shared" si="7"/>
        <v>491</v>
      </c>
      <c r="B492" s="12">
        <v>40725083</v>
      </c>
      <c r="C492" s="4" t="s">
        <v>498</v>
      </c>
      <c r="D492" s="13" t="s">
        <v>499</v>
      </c>
      <c r="E492" s="14" t="s">
        <v>563</v>
      </c>
      <c r="F492" s="4" t="s">
        <v>564</v>
      </c>
      <c r="G492" s="15">
        <v>1067.3499999999999</v>
      </c>
      <c r="H492" s="4">
        <v>1</v>
      </c>
      <c r="I492" s="4" t="s">
        <v>14</v>
      </c>
      <c r="J492" s="15">
        <v>1067.3499999999999</v>
      </c>
      <c r="K492" s="13">
        <v>1</v>
      </c>
    </row>
    <row r="493" spans="1:11">
      <c r="A493" s="1">
        <f t="shared" si="7"/>
        <v>492</v>
      </c>
      <c r="B493" s="12" t="s">
        <v>3448</v>
      </c>
      <c r="C493" s="4"/>
      <c r="D493" s="13"/>
      <c r="E493" s="14"/>
      <c r="F493" s="4" t="s">
        <v>568</v>
      </c>
      <c r="G493" s="15"/>
      <c r="H493" s="4">
        <v>10</v>
      </c>
      <c r="I493" s="4" t="s">
        <v>14</v>
      </c>
      <c r="J493" s="15"/>
      <c r="K493" s="13">
        <v>10</v>
      </c>
    </row>
    <row r="494" spans="1:11">
      <c r="A494" s="1">
        <f t="shared" si="7"/>
        <v>493</v>
      </c>
      <c r="B494" s="12">
        <v>40725065</v>
      </c>
      <c r="C494" s="4" t="s">
        <v>565</v>
      </c>
      <c r="D494" s="13" t="s">
        <v>566</v>
      </c>
      <c r="E494" s="14" t="s">
        <v>567</v>
      </c>
      <c r="F494" s="4" t="s">
        <v>568</v>
      </c>
      <c r="G494" s="15">
        <v>159.54</v>
      </c>
      <c r="H494" s="4">
        <v>2</v>
      </c>
      <c r="I494" s="4" t="s">
        <v>14</v>
      </c>
      <c r="J494" s="15">
        <v>319.08</v>
      </c>
      <c r="K494" s="13">
        <v>2</v>
      </c>
    </row>
    <row r="495" spans="1:11">
      <c r="A495" s="1">
        <f t="shared" si="7"/>
        <v>494</v>
      </c>
      <c r="B495" s="12" t="s">
        <v>3460</v>
      </c>
      <c r="C495" s="4"/>
      <c r="D495" s="13"/>
      <c r="E495" s="14"/>
      <c r="F495" s="4" t="s">
        <v>570</v>
      </c>
      <c r="G495" s="15"/>
      <c r="H495" s="4">
        <v>16</v>
      </c>
      <c r="I495" s="4" t="s">
        <v>14</v>
      </c>
      <c r="J495" s="15"/>
      <c r="K495" s="13">
        <v>16</v>
      </c>
    </row>
    <row r="496" spans="1:11">
      <c r="A496" s="1">
        <f t="shared" si="7"/>
        <v>495</v>
      </c>
      <c r="B496" s="12">
        <v>40725152</v>
      </c>
      <c r="C496" s="4" t="s">
        <v>565</v>
      </c>
      <c r="D496" s="13" t="s">
        <v>566</v>
      </c>
      <c r="E496" s="14" t="s">
        <v>569</v>
      </c>
      <c r="F496" s="4" t="s">
        <v>570</v>
      </c>
      <c r="G496" s="15">
        <v>142.84</v>
      </c>
      <c r="H496" s="4">
        <v>2</v>
      </c>
      <c r="I496" s="4" t="s">
        <v>14</v>
      </c>
      <c r="J496" s="15">
        <v>285.68</v>
      </c>
      <c r="K496" s="13">
        <v>2</v>
      </c>
    </row>
    <row r="497" spans="1:11">
      <c r="A497" s="1">
        <f t="shared" si="7"/>
        <v>496</v>
      </c>
      <c r="B497" s="12" t="s">
        <v>3447</v>
      </c>
      <c r="C497" s="4"/>
      <c r="D497" s="13"/>
      <c r="E497" s="14"/>
      <c r="F497" s="4" t="s">
        <v>572</v>
      </c>
      <c r="G497" s="15"/>
      <c r="H497" s="4">
        <v>10</v>
      </c>
      <c r="I497" s="4" t="s">
        <v>14</v>
      </c>
      <c r="J497" s="15"/>
      <c r="K497" s="13">
        <v>10</v>
      </c>
    </row>
    <row r="498" spans="1:11">
      <c r="A498" s="1">
        <f t="shared" si="7"/>
        <v>497</v>
      </c>
      <c r="B498" s="12">
        <v>40725064</v>
      </c>
      <c r="C498" s="4" t="s">
        <v>565</v>
      </c>
      <c r="D498" s="13" t="s">
        <v>566</v>
      </c>
      <c r="E498" s="14" t="s">
        <v>571</v>
      </c>
      <c r="F498" s="4" t="s">
        <v>572</v>
      </c>
      <c r="G498" s="15">
        <v>238.98</v>
      </c>
      <c r="H498" s="4">
        <v>2</v>
      </c>
      <c r="I498" s="4" t="s">
        <v>14</v>
      </c>
      <c r="J498" s="15">
        <v>477.96</v>
      </c>
      <c r="K498" s="13">
        <v>2</v>
      </c>
    </row>
    <row r="499" spans="1:11">
      <c r="A499" s="1">
        <f t="shared" si="7"/>
        <v>498</v>
      </c>
      <c r="B499" s="12" t="s">
        <v>3446</v>
      </c>
      <c r="C499" s="4"/>
      <c r="D499" s="13"/>
      <c r="E499" s="14"/>
      <c r="F499" s="4" t="s">
        <v>575</v>
      </c>
      <c r="G499" s="15"/>
      <c r="H499" s="4">
        <v>10</v>
      </c>
      <c r="I499" s="4" t="s">
        <v>14</v>
      </c>
      <c r="J499" s="15"/>
      <c r="K499" s="13">
        <v>10</v>
      </c>
    </row>
    <row r="500" spans="1:11">
      <c r="A500" s="1">
        <f t="shared" si="7"/>
        <v>499</v>
      </c>
      <c r="B500" s="12">
        <v>40724977</v>
      </c>
      <c r="C500" s="4" t="s">
        <v>383</v>
      </c>
      <c r="D500" s="13" t="s">
        <v>573</v>
      </c>
      <c r="E500" s="14" t="s">
        <v>574</v>
      </c>
      <c r="F500" s="4" t="s">
        <v>575</v>
      </c>
      <c r="G500" s="15">
        <v>436.98</v>
      </c>
      <c r="H500" s="4">
        <v>2</v>
      </c>
      <c r="I500" s="4" t="s">
        <v>14</v>
      </c>
      <c r="J500" s="15">
        <v>873.96</v>
      </c>
      <c r="K500" s="13">
        <v>2</v>
      </c>
    </row>
    <row r="501" spans="1:11">
      <c r="A501" s="1">
        <f t="shared" si="7"/>
        <v>500</v>
      </c>
      <c r="B501" s="12">
        <v>40725045</v>
      </c>
      <c r="C501" s="4" t="s">
        <v>576</v>
      </c>
      <c r="D501" s="13" t="s">
        <v>577</v>
      </c>
      <c r="E501" s="14" t="s">
        <v>578</v>
      </c>
      <c r="F501" s="4" t="s">
        <v>579</v>
      </c>
      <c r="G501" s="15">
        <v>63.33</v>
      </c>
      <c r="H501" s="4">
        <v>2</v>
      </c>
      <c r="I501" s="4" t="s">
        <v>14</v>
      </c>
      <c r="J501" s="15">
        <v>126.66</v>
      </c>
      <c r="K501" s="13">
        <v>2</v>
      </c>
    </row>
    <row r="502" spans="1:11">
      <c r="A502" s="1">
        <f t="shared" si="7"/>
        <v>501</v>
      </c>
      <c r="B502" s="12">
        <v>40753517</v>
      </c>
      <c r="C502" s="4" t="s">
        <v>576</v>
      </c>
      <c r="D502" s="13" t="s">
        <v>580</v>
      </c>
      <c r="E502" s="14" t="s">
        <v>581</v>
      </c>
      <c r="F502" s="4" t="s">
        <v>582</v>
      </c>
      <c r="G502" s="15">
        <v>141.38</v>
      </c>
      <c r="H502" s="4">
        <v>2</v>
      </c>
      <c r="I502" s="4" t="s">
        <v>14</v>
      </c>
      <c r="J502" s="15">
        <v>282.76</v>
      </c>
      <c r="K502" s="13">
        <v>2</v>
      </c>
    </row>
    <row r="503" spans="1:11">
      <c r="A503" s="1">
        <f t="shared" si="7"/>
        <v>502</v>
      </c>
      <c r="B503" s="12">
        <v>40722465</v>
      </c>
      <c r="C503" s="4" t="s">
        <v>583</v>
      </c>
      <c r="D503" s="13" t="s">
        <v>584</v>
      </c>
      <c r="E503" s="14" t="s">
        <v>585</v>
      </c>
      <c r="F503" s="4" t="s">
        <v>586</v>
      </c>
      <c r="G503" s="15">
        <v>926.15</v>
      </c>
      <c r="H503" s="4">
        <v>1</v>
      </c>
      <c r="I503" s="4" t="s">
        <v>14</v>
      </c>
      <c r="J503" s="15">
        <v>926.15</v>
      </c>
      <c r="K503" s="13">
        <v>1</v>
      </c>
    </row>
    <row r="504" spans="1:11">
      <c r="A504" s="1">
        <f t="shared" si="7"/>
        <v>503</v>
      </c>
      <c r="B504" s="12" t="s">
        <v>3445</v>
      </c>
      <c r="C504" s="4"/>
      <c r="D504" s="13"/>
      <c r="E504" s="14"/>
      <c r="F504" s="4" t="s">
        <v>590</v>
      </c>
      <c r="G504" s="15"/>
      <c r="H504" s="4">
        <v>10</v>
      </c>
      <c r="I504" s="4" t="s">
        <v>14</v>
      </c>
      <c r="J504" s="15"/>
      <c r="K504" s="13">
        <v>10</v>
      </c>
    </row>
    <row r="505" spans="1:11">
      <c r="A505" s="1">
        <f t="shared" si="7"/>
        <v>504</v>
      </c>
      <c r="B505" s="12">
        <v>40722573</v>
      </c>
      <c r="C505" s="4" t="s">
        <v>587</v>
      </c>
      <c r="D505" s="13" t="s">
        <v>588</v>
      </c>
      <c r="E505" s="14" t="s">
        <v>589</v>
      </c>
      <c r="F505" s="4" t="s">
        <v>590</v>
      </c>
      <c r="G505" s="15">
        <v>302.23</v>
      </c>
      <c r="H505" s="4">
        <v>1</v>
      </c>
      <c r="I505" s="4" t="s">
        <v>14</v>
      </c>
      <c r="J505" s="15">
        <v>302.23</v>
      </c>
      <c r="K505" s="13">
        <v>1</v>
      </c>
    </row>
    <row r="506" spans="1:11">
      <c r="A506" s="1">
        <f t="shared" si="7"/>
        <v>505</v>
      </c>
      <c r="B506" s="12">
        <v>40248130</v>
      </c>
      <c r="C506" s="4"/>
      <c r="D506" s="13" t="s">
        <v>591</v>
      </c>
      <c r="E506" s="14"/>
      <c r="F506" s="4" t="s">
        <v>592</v>
      </c>
      <c r="G506" s="15">
        <v>1.2917000000000001</v>
      </c>
      <c r="H506" s="4">
        <v>88</v>
      </c>
      <c r="I506" s="4" t="s">
        <v>14</v>
      </c>
      <c r="J506" s="15">
        <v>113.6696</v>
      </c>
      <c r="K506" s="13">
        <v>88</v>
      </c>
    </row>
    <row r="507" spans="1:11">
      <c r="A507" s="1">
        <f t="shared" si="7"/>
        <v>506</v>
      </c>
      <c r="B507" s="12">
        <v>40722470</v>
      </c>
      <c r="C507" s="4" t="s">
        <v>593</v>
      </c>
      <c r="D507" s="13" t="s">
        <v>594</v>
      </c>
      <c r="E507" s="14" t="s">
        <v>595</v>
      </c>
      <c r="F507" s="4" t="s">
        <v>596</v>
      </c>
      <c r="G507" s="15">
        <v>882.6</v>
      </c>
      <c r="H507" s="4">
        <v>1</v>
      </c>
      <c r="I507" s="4" t="s">
        <v>14</v>
      </c>
      <c r="J507" s="15">
        <v>882.6</v>
      </c>
      <c r="K507" s="13">
        <v>1</v>
      </c>
    </row>
    <row r="508" spans="1:11">
      <c r="A508" s="1">
        <f t="shared" si="7"/>
        <v>507</v>
      </c>
      <c r="B508" s="12" t="s">
        <v>3444</v>
      </c>
      <c r="C508" s="4"/>
      <c r="D508" s="13"/>
      <c r="E508" s="14"/>
      <c r="F508" s="4" t="s">
        <v>599</v>
      </c>
      <c r="G508" s="15"/>
      <c r="H508" s="4">
        <v>10</v>
      </c>
      <c r="I508" s="4" t="s">
        <v>14</v>
      </c>
      <c r="J508" s="15"/>
      <c r="K508" s="13">
        <v>10</v>
      </c>
    </row>
    <row r="509" spans="1:11">
      <c r="A509" s="1">
        <f t="shared" si="7"/>
        <v>508</v>
      </c>
      <c r="B509" s="12">
        <v>40722570</v>
      </c>
      <c r="C509" s="4" t="s">
        <v>587</v>
      </c>
      <c r="D509" s="13" t="s">
        <v>597</v>
      </c>
      <c r="E509" s="14" t="s">
        <v>598</v>
      </c>
      <c r="F509" s="4" t="s">
        <v>599</v>
      </c>
      <c r="G509" s="15">
        <v>503.22</v>
      </c>
      <c r="H509" s="4">
        <v>1</v>
      </c>
      <c r="I509" s="4" t="s">
        <v>14</v>
      </c>
      <c r="J509" s="15">
        <v>503.22</v>
      </c>
      <c r="K509" s="13">
        <v>1</v>
      </c>
    </row>
    <row r="510" spans="1:11">
      <c r="A510" s="1">
        <f t="shared" si="7"/>
        <v>509</v>
      </c>
      <c r="B510" s="12">
        <v>40760848</v>
      </c>
      <c r="C510" s="4" t="s">
        <v>554</v>
      </c>
      <c r="D510" s="13" t="s">
        <v>600</v>
      </c>
      <c r="E510" s="14" t="s">
        <v>601</v>
      </c>
      <c r="F510" s="4" t="s">
        <v>602</v>
      </c>
      <c r="G510" s="15">
        <v>198.82</v>
      </c>
      <c r="H510" s="4">
        <v>3</v>
      </c>
      <c r="I510" s="4" t="s">
        <v>14</v>
      </c>
      <c r="J510" s="15">
        <v>596.46</v>
      </c>
      <c r="K510" s="13">
        <v>3</v>
      </c>
    </row>
    <row r="511" spans="1:11">
      <c r="A511" s="1">
        <f t="shared" si="7"/>
        <v>510</v>
      </c>
      <c r="B511" s="12">
        <v>40272691</v>
      </c>
      <c r="C511" s="4"/>
      <c r="D511" s="13"/>
      <c r="E511" s="14"/>
      <c r="F511" s="4" t="s">
        <v>603</v>
      </c>
      <c r="G511" s="15" t="s">
        <v>149</v>
      </c>
      <c r="H511" s="4">
        <v>10</v>
      </c>
      <c r="I511" s="4" t="s">
        <v>14</v>
      </c>
      <c r="J511" s="15"/>
      <c r="K511" s="13">
        <v>10</v>
      </c>
    </row>
    <row r="512" spans="1:11">
      <c r="A512" s="1">
        <f t="shared" si="7"/>
        <v>511</v>
      </c>
      <c r="B512" s="12">
        <v>40760852</v>
      </c>
      <c r="C512" s="4" t="s">
        <v>554</v>
      </c>
      <c r="D512" s="13" t="s">
        <v>604</v>
      </c>
      <c r="E512" s="14" t="s">
        <v>605</v>
      </c>
      <c r="F512" s="4" t="s">
        <v>606</v>
      </c>
      <c r="G512" s="15">
        <v>77.37</v>
      </c>
      <c r="H512" s="4">
        <v>10</v>
      </c>
      <c r="I512" s="4" t="s">
        <v>14</v>
      </c>
      <c r="J512" s="15">
        <v>773.7</v>
      </c>
      <c r="K512" s="13">
        <v>10</v>
      </c>
    </row>
    <row r="513" spans="1:11">
      <c r="A513" s="1">
        <f t="shared" si="7"/>
        <v>512</v>
      </c>
      <c r="B513" s="12">
        <v>40760849</v>
      </c>
      <c r="C513" s="4" t="s">
        <v>554</v>
      </c>
      <c r="D513" s="13" t="s">
        <v>607</v>
      </c>
      <c r="E513" s="14" t="s">
        <v>608</v>
      </c>
      <c r="F513" s="4" t="s">
        <v>609</v>
      </c>
      <c r="G513" s="15">
        <v>36.4</v>
      </c>
      <c r="H513" s="4">
        <v>5</v>
      </c>
      <c r="I513" s="4" t="s">
        <v>14</v>
      </c>
      <c r="J513" s="15">
        <v>182</v>
      </c>
      <c r="K513" s="13">
        <v>5</v>
      </c>
    </row>
    <row r="514" spans="1:11">
      <c r="A514" s="1">
        <f t="shared" ref="A514:A577" si="8">ROW()-1</f>
        <v>513</v>
      </c>
      <c r="B514" s="12">
        <v>40760844</v>
      </c>
      <c r="C514" s="4" t="s">
        <v>554</v>
      </c>
      <c r="D514" s="13" t="s">
        <v>610</v>
      </c>
      <c r="E514" s="14" t="s">
        <v>611</v>
      </c>
      <c r="F514" s="4" t="s">
        <v>612</v>
      </c>
      <c r="G514" s="15">
        <v>36.58</v>
      </c>
      <c r="H514" s="4">
        <v>2</v>
      </c>
      <c r="I514" s="4" t="s">
        <v>14</v>
      </c>
      <c r="J514" s="15">
        <v>73.16</v>
      </c>
      <c r="K514" s="13">
        <v>2</v>
      </c>
    </row>
    <row r="515" spans="1:11">
      <c r="A515" s="1">
        <f t="shared" si="8"/>
        <v>514</v>
      </c>
      <c r="B515" s="12">
        <v>40664821</v>
      </c>
      <c r="C515" s="4"/>
      <c r="D515" s="13" t="s">
        <v>613</v>
      </c>
      <c r="E515" s="14"/>
      <c r="F515" s="4" t="s">
        <v>612</v>
      </c>
      <c r="G515" s="4"/>
      <c r="H515" s="4">
        <v>15</v>
      </c>
      <c r="I515" s="4" t="s">
        <v>14</v>
      </c>
      <c r="J515" s="4"/>
      <c r="K515" s="13">
        <v>15</v>
      </c>
    </row>
    <row r="516" spans="1:11">
      <c r="A516" s="1">
        <f t="shared" si="8"/>
        <v>515</v>
      </c>
      <c r="B516" s="12">
        <v>40725084</v>
      </c>
      <c r="C516" s="4" t="s">
        <v>383</v>
      </c>
      <c r="D516" s="13" t="s">
        <v>573</v>
      </c>
      <c r="E516" s="14" t="s">
        <v>614</v>
      </c>
      <c r="F516" s="4" t="s">
        <v>615</v>
      </c>
      <c r="G516" s="15">
        <v>207.9</v>
      </c>
      <c r="H516" s="4">
        <v>1</v>
      </c>
      <c r="I516" s="4" t="s">
        <v>14</v>
      </c>
      <c r="J516" s="15">
        <v>207.9</v>
      </c>
      <c r="K516" s="13">
        <v>1</v>
      </c>
    </row>
    <row r="517" spans="1:11">
      <c r="A517" s="1">
        <f t="shared" si="8"/>
        <v>516</v>
      </c>
      <c r="B517" s="12">
        <v>40753515</v>
      </c>
      <c r="C517" s="4" t="s">
        <v>616</v>
      </c>
      <c r="D517" s="13" t="s">
        <v>617</v>
      </c>
      <c r="E517" s="14">
        <v>1641675100</v>
      </c>
      <c r="F517" s="4" t="s">
        <v>618</v>
      </c>
      <c r="G517" s="15">
        <v>958.08</v>
      </c>
      <c r="H517" s="4">
        <v>1</v>
      </c>
      <c r="I517" s="4" t="s">
        <v>14</v>
      </c>
      <c r="J517" s="15">
        <v>958.08</v>
      </c>
      <c r="K517" s="13">
        <v>1</v>
      </c>
    </row>
    <row r="518" spans="1:11">
      <c r="A518" s="1">
        <f t="shared" si="8"/>
        <v>517</v>
      </c>
      <c r="B518" s="12">
        <v>40753512</v>
      </c>
      <c r="C518" s="4" t="s">
        <v>383</v>
      </c>
      <c r="D518" s="13" t="s">
        <v>619</v>
      </c>
      <c r="E518" s="14" t="s">
        <v>620</v>
      </c>
      <c r="F518" s="4" t="s">
        <v>621</v>
      </c>
      <c r="G518" s="15">
        <v>1236.52</v>
      </c>
      <c r="H518" s="4">
        <v>1</v>
      </c>
      <c r="I518" s="4" t="s">
        <v>14</v>
      </c>
      <c r="J518" s="15">
        <v>1236.52</v>
      </c>
      <c r="K518" s="13">
        <v>1</v>
      </c>
    </row>
    <row r="519" spans="1:11">
      <c r="A519" s="1">
        <f t="shared" si="8"/>
        <v>518</v>
      </c>
      <c r="B519" s="12">
        <v>40753509</v>
      </c>
      <c r="C519" s="4" t="s">
        <v>379</v>
      </c>
      <c r="D519" s="13" t="s">
        <v>622</v>
      </c>
      <c r="E519" s="14" t="s">
        <v>623</v>
      </c>
      <c r="F519" s="4" t="s">
        <v>624</v>
      </c>
      <c r="G519" s="15">
        <v>796.01</v>
      </c>
      <c r="H519" s="4">
        <v>1</v>
      </c>
      <c r="I519" s="4" t="s">
        <v>14</v>
      </c>
      <c r="J519" s="15">
        <v>796.01</v>
      </c>
      <c r="K519" s="13">
        <v>1</v>
      </c>
    </row>
    <row r="520" spans="1:11">
      <c r="A520" s="1">
        <f t="shared" si="8"/>
        <v>519</v>
      </c>
      <c r="B520" s="12">
        <v>40725085</v>
      </c>
      <c r="C520" s="4" t="s">
        <v>383</v>
      </c>
      <c r="D520" s="13" t="s">
        <v>573</v>
      </c>
      <c r="E520" s="14" t="s">
        <v>625</v>
      </c>
      <c r="F520" s="4" t="s">
        <v>626</v>
      </c>
      <c r="G520" s="15">
        <v>322.73</v>
      </c>
      <c r="H520" s="4">
        <v>1</v>
      </c>
      <c r="I520" s="4" t="s">
        <v>14</v>
      </c>
      <c r="J520" s="15">
        <v>322.73</v>
      </c>
      <c r="K520" s="13">
        <v>1</v>
      </c>
    </row>
    <row r="521" spans="1:11">
      <c r="A521" s="1">
        <f t="shared" si="8"/>
        <v>520</v>
      </c>
      <c r="B521" s="12">
        <v>40698457</v>
      </c>
      <c r="C521" s="4" t="s">
        <v>402</v>
      </c>
      <c r="D521" s="13" t="s">
        <v>403</v>
      </c>
      <c r="E521" s="14" t="s">
        <v>627</v>
      </c>
      <c r="F521" s="4" t="s">
        <v>628</v>
      </c>
      <c r="G521" s="15">
        <v>3356.83</v>
      </c>
      <c r="H521" s="4">
        <v>2</v>
      </c>
      <c r="I521" s="4" t="s">
        <v>14</v>
      </c>
      <c r="J521" s="15">
        <v>3356.83</v>
      </c>
      <c r="K521" s="13">
        <v>2</v>
      </c>
    </row>
    <row r="522" spans="1:11">
      <c r="A522" s="1">
        <f t="shared" si="8"/>
        <v>521</v>
      </c>
      <c r="B522" s="12">
        <v>40248649</v>
      </c>
      <c r="C522" s="4"/>
      <c r="D522" s="13" t="s">
        <v>629</v>
      </c>
      <c r="E522" s="14"/>
      <c r="F522" s="4" t="s">
        <v>630</v>
      </c>
      <c r="G522" s="15">
        <v>5.8879999999999999</v>
      </c>
      <c r="H522" s="4">
        <v>28</v>
      </c>
      <c r="I522" s="4" t="s">
        <v>14</v>
      </c>
      <c r="J522" s="15">
        <v>164.864</v>
      </c>
      <c r="K522" s="13">
        <v>26</v>
      </c>
    </row>
    <row r="523" spans="1:11">
      <c r="A523" s="1">
        <f t="shared" si="8"/>
        <v>522</v>
      </c>
      <c r="B523" s="12">
        <v>40805070</v>
      </c>
      <c r="C523" s="4"/>
      <c r="D523" s="13" t="s">
        <v>631</v>
      </c>
      <c r="E523" s="14"/>
      <c r="F523" s="4" t="s">
        <v>632</v>
      </c>
      <c r="G523" s="15">
        <v>25.28</v>
      </c>
      <c r="H523" s="4">
        <v>9</v>
      </c>
      <c r="I523" s="4" t="s">
        <v>14</v>
      </c>
      <c r="J523" s="15">
        <v>227.52</v>
      </c>
      <c r="K523" s="13">
        <v>9</v>
      </c>
    </row>
    <row r="524" spans="1:11">
      <c r="A524" s="1">
        <f t="shared" si="8"/>
        <v>523</v>
      </c>
      <c r="B524" s="12">
        <v>40248652</v>
      </c>
      <c r="C524" s="4"/>
      <c r="D524" s="13" t="s">
        <v>633</v>
      </c>
      <c r="E524" s="14"/>
      <c r="F524" s="4" t="s">
        <v>634</v>
      </c>
      <c r="G524" s="15">
        <v>41.353000000000002</v>
      </c>
      <c r="H524" s="4">
        <v>30</v>
      </c>
      <c r="I524" s="4" t="s">
        <v>14</v>
      </c>
      <c r="J524" s="15">
        <v>1240.5899999999999</v>
      </c>
      <c r="K524" s="13">
        <v>0</v>
      </c>
    </row>
    <row r="525" spans="1:11">
      <c r="A525" s="1">
        <f t="shared" si="8"/>
        <v>524</v>
      </c>
      <c r="B525" s="12" t="s">
        <v>635</v>
      </c>
      <c r="C525" s="4"/>
      <c r="D525" s="13"/>
      <c r="E525" s="14"/>
      <c r="F525" s="4" t="s">
        <v>634</v>
      </c>
      <c r="G525" s="4"/>
      <c r="H525" s="4">
        <v>30</v>
      </c>
      <c r="I525" s="4" t="s">
        <v>14</v>
      </c>
      <c r="J525" s="4"/>
      <c r="K525" s="13">
        <v>26</v>
      </c>
    </row>
    <row r="526" spans="1:11">
      <c r="A526" s="1">
        <f t="shared" si="8"/>
        <v>525</v>
      </c>
      <c r="B526" s="12">
        <v>40248676</v>
      </c>
      <c r="C526" s="4"/>
      <c r="D526" s="13" t="s">
        <v>636</v>
      </c>
      <c r="E526" s="14"/>
      <c r="F526" s="4" t="s">
        <v>637</v>
      </c>
      <c r="G526" s="15">
        <v>64.588999999999999</v>
      </c>
      <c r="H526" s="4">
        <v>20</v>
      </c>
      <c r="I526" s="4" t="s">
        <v>14</v>
      </c>
      <c r="J526" s="15">
        <v>1291.78</v>
      </c>
      <c r="K526" s="13">
        <v>20</v>
      </c>
    </row>
    <row r="527" spans="1:11">
      <c r="A527" s="1">
        <f t="shared" si="8"/>
        <v>526</v>
      </c>
      <c r="B527" s="12">
        <v>40760853</v>
      </c>
      <c r="C527" s="4" t="s">
        <v>554</v>
      </c>
      <c r="D527" s="13" t="s">
        <v>638</v>
      </c>
      <c r="E527" s="14" t="s">
        <v>639</v>
      </c>
      <c r="F527" s="4" t="s">
        <v>640</v>
      </c>
      <c r="G527" s="15">
        <v>96.58</v>
      </c>
      <c r="H527" s="4">
        <v>20</v>
      </c>
      <c r="I527" s="4" t="s">
        <v>14</v>
      </c>
      <c r="J527" s="15">
        <v>1931.6</v>
      </c>
      <c r="K527" s="13">
        <v>20</v>
      </c>
    </row>
    <row r="528" spans="1:11">
      <c r="A528" s="1">
        <f t="shared" si="8"/>
        <v>527</v>
      </c>
      <c r="B528" s="12" t="s">
        <v>3443</v>
      </c>
      <c r="C528" s="4"/>
      <c r="D528" s="13"/>
      <c r="E528" s="14"/>
      <c r="F528" s="4" t="s">
        <v>643</v>
      </c>
      <c r="G528" s="15"/>
      <c r="H528" s="4">
        <v>16</v>
      </c>
      <c r="I528" s="4" t="s">
        <v>14</v>
      </c>
      <c r="J528" s="15"/>
      <c r="K528" s="13">
        <v>16</v>
      </c>
    </row>
    <row r="529" spans="1:11">
      <c r="A529" s="1">
        <f t="shared" si="8"/>
        <v>528</v>
      </c>
      <c r="B529" s="12">
        <v>40760846</v>
      </c>
      <c r="C529" s="4" t="s">
        <v>554</v>
      </c>
      <c r="D529" s="13" t="s">
        <v>641</v>
      </c>
      <c r="E529" s="14" t="s">
        <v>642</v>
      </c>
      <c r="F529" s="4" t="s">
        <v>643</v>
      </c>
      <c r="G529" s="15">
        <v>50.48</v>
      </c>
      <c r="H529" s="4">
        <v>5</v>
      </c>
      <c r="I529" s="4" t="s">
        <v>14</v>
      </c>
      <c r="J529" s="15">
        <v>252.4</v>
      </c>
      <c r="K529" s="13">
        <v>5</v>
      </c>
    </row>
    <row r="530" spans="1:11">
      <c r="A530" s="1">
        <f t="shared" si="8"/>
        <v>529</v>
      </c>
      <c r="B530" s="12" t="s">
        <v>3442</v>
      </c>
      <c r="C530" s="4"/>
      <c r="D530" s="13"/>
      <c r="E530" s="14"/>
      <c r="F530" s="4" t="s">
        <v>646</v>
      </c>
      <c r="G530" s="15"/>
      <c r="H530" s="4">
        <v>16</v>
      </c>
      <c r="I530" s="4" t="s">
        <v>14</v>
      </c>
      <c r="J530" s="15"/>
      <c r="K530" s="13">
        <v>16</v>
      </c>
    </row>
    <row r="531" spans="1:11">
      <c r="A531" s="1">
        <f t="shared" si="8"/>
        <v>530</v>
      </c>
      <c r="B531" s="12">
        <v>40760845</v>
      </c>
      <c r="C531" s="4" t="s">
        <v>554</v>
      </c>
      <c r="D531" s="13" t="s">
        <v>644</v>
      </c>
      <c r="E531" s="14" t="s">
        <v>645</v>
      </c>
      <c r="F531" s="4" t="s">
        <v>646</v>
      </c>
      <c r="G531" s="15">
        <v>43.71</v>
      </c>
      <c r="H531" s="4">
        <v>5</v>
      </c>
      <c r="I531" s="4" t="s">
        <v>14</v>
      </c>
      <c r="J531" s="15">
        <v>218.55</v>
      </c>
      <c r="K531" s="13">
        <v>5</v>
      </c>
    </row>
    <row r="532" spans="1:11">
      <c r="A532" s="1">
        <f t="shared" si="8"/>
        <v>531</v>
      </c>
      <c r="B532" s="12" t="s">
        <v>3441</v>
      </c>
      <c r="C532" s="4"/>
      <c r="D532" s="13"/>
      <c r="E532" s="14"/>
      <c r="F532" s="4" t="s">
        <v>649</v>
      </c>
      <c r="G532" s="15"/>
      <c r="H532" s="4">
        <v>16</v>
      </c>
      <c r="I532" s="4" t="s">
        <v>14</v>
      </c>
      <c r="J532" s="15"/>
      <c r="K532" s="13">
        <v>16</v>
      </c>
    </row>
    <row r="533" spans="1:11">
      <c r="A533" s="1">
        <f t="shared" si="8"/>
        <v>532</v>
      </c>
      <c r="B533" s="12">
        <v>40760843</v>
      </c>
      <c r="C533" s="4" t="s">
        <v>36</v>
      </c>
      <c r="D533" s="13" t="s">
        <v>647</v>
      </c>
      <c r="E533" s="14" t="s">
        <v>648</v>
      </c>
      <c r="F533" s="4" t="s">
        <v>649</v>
      </c>
      <c r="G533" s="15">
        <v>37.31</v>
      </c>
      <c r="H533" s="4">
        <v>4</v>
      </c>
      <c r="I533" s="4" t="s">
        <v>14</v>
      </c>
      <c r="J533" s="15">
        <v>149.24</v>
      </c>
      <c r="K533" s="13">
        <v>4</v>
      </c>
    </row>
    <row r="534" spans="1:11">
      <c r="A534" s="1">
        <f t="shared" si="8"/>
        <v>533</v>
      </c>
      <c r="B534" s="12" t="s">
        <v>3440</v>
      </c>
      <c r="C534" s="4"/>
      <c r="D534" s="13"/>
      <c r="E534" s="14"/>
      <c r="F534" s="4" t="s">
        <v>651</v>
      </c>
      <c r="G534" s="15"/>
      <c r="H534" s="4">
        <v>10</v>
      </c>
      <c r="I534" s="4" t="s">
        <v>14</v>
      </c>
      <c r="J534" s="15"/>
      <c r="K534" s="13">
        <v>10</v>
      </c>
    </row>
    <row r="535" spans="1:11">
      <c r="A535" s="1">
        <f t="shared" si="8"/>
        <v>534</v>
      </c>
      <c r="B535" s="12">
        <v>40753505</v>
      </c>
      <c r="C535" s="4" t="s">
        <v>498</v>
      </c>
      <c r="D535" s="13" t="s">
        <v>551</v>
      </c>
      <c r="E535" s="14" t="s">
        <v>650</v>
      </c>
      <c r="F535" s="4" t="s">
        <v>651</v>
      </c>
      <c r="G535" s="15">
        <v>2505.9699999999998</v>
      </c>
      <c r="H535" s="4">
        <v>1</v>
      </c>
      <c r="I535" s="4" t="s">
        <v>14</v>
      </c>
      <c r="J535" s="15">
        <v>2505.9699999999998</v>
      </c>
      <c r="K535" s="13">
        <v>1</v>
      </c>
    </row>
    <row r="536" spans="1:11">
      <c r="A536" s="1">
        <f t="shared" si="8"/>
        <v>535</v>
      </c>
      <c r="B536" s="12">
        <v>40753516</v>
      </c>
      <c r="C536" s="4" t="s">
        <v>383</v>
      </c>
      <c r="D536" s="13" t="s">
        <v>619</v>
      </c>
      <c r="E536" s="14" t="s">
        <v>652</v>
      </c>
      <c r="F536" s="4" t="s">
        <v>653</v>
      </c>
      <c r="G536" s="15">
        <v>1429.79</v>
      </c>
      <c r="H536" s="4">
        <v>1</v>
      </c>
      <c r="I536" s="4" t="s">
        <v>14</v>
      </c>
      <c r="J536" s="15">
        <v>1429.79</v>
      </c>
      <c r="K536" s="13">
        <v>1</v>
      </c>
    </row>
    <row r="537" spans="1:11">
      <c r="A537" s="1">
        <f t="shared" si="8"/>
        <v>536</v>
      </c>
      <c r="B537" s="12">
        <v>40753508</v>
      </c>
      <c r="C537" s="4" t="s">
        <v>383</v>
      </c>
      <c r="D537" s="13" t="s">
        <v>654</v>
      </c>
      <c r="E537" s="14" t="s">
        <v>655</v>
      </c>
      <c r="F537" s="4" t="s">
        <v>656</v>
      </c>
      <c r="G537" s="15">
        <v>1369.27</v>
      </c>
      <c r="H537" s="4">
        <v>1</v>
      </c>
      <c r="I537" s="4" t="s">
        <v>14</v>
      </c>
      <c r="J537" s="15">
        <v>1369.27</v>
      </c>
      <c r="K537" s="13">
        <v>1</v>
      </c>
    </row>
    <row r="538" spans="1:11">
      <c r="A538" s="1">
        <f t="shared" si="8"/>
        <v>537</v>
      </c>
      <c r="B538" s="12">
        <v>40753506</v>
      </c>
      <c r="C538" s="4" t="s">
        <v>383</v>
      </c>
      <c r="D538" s="13" t="s">
        <v>619</v>
      </c>
      <c r="E538" s="14" t="s">
        <v>657</v>
      </c>
      <c r="F538" s="4" t="s">
        <v>658</v>
      </c>
      <c r="G538" s="15">
        <v>2749.06</v>
      </c>
      <c r="H538" s="4">
        <v>1</v>
      </c>
      <c r="I538" s="4" t="s">
        <v>14</v>
      </c>
      <c r="J538" s="15">
        <v>2749.06</v>
      </c>
      <c r="K538" s="13">
        <v>1</v>
      </c>
    </row>
    <row r="539" spans="1:11">
      <c r="A539" s="1">
        <f t="shared" si="8"/>
        <v>538</v>
      </c>
      <c r="B539" s="12">
        <v>40725092</v>
      </c>
      <c r="C539" s="4" t="s">
        <v>498</v>
      </c>
      <c r="D539" s="13" t="s">
        <v>499</v>
      </c>
      <c r="E539" s="14" t="s">
        <v>659</v>
      </c>
      <c r="F539" s="4" t="s">
        <v>660</v>
      </c>
      <c r="G539" s="15">
        <v>1312.74</v>
      </c>
      <c r="H539" s="4">
        <v>1</v>
      </c>
      <c r="I539" s="4" t="s">
        <v>14</v>
      </c>
      <c r="J539" s="15">
        <v>1312.74</v>
      </c>
      <c r="K539" s="13">
        <v>1</v>
      </c>
    </row>
    <row r="540" spans="1:11">
      <c r="A540" s="1">
        <f t="shared" si="8"/>
        <v>539</v>
      </c>
      <c r="B540" s="12">
        <v>40787770</v>
      </c>
      <c r="C540" s="4"/>
      <c r="D540" s="13" t="s">
        <v>502</v>
      </c>
      <c r="E540" s="14"/>
      <c r="F540" s="4" t="s">
        <v>661</v>
      </c>
      <c r="G540" s="15">
        <v>325.07</v>
      </c>
      <c r="H540" s="4">
        <v>2</v>
      </c>
      <c r="I540" s="4" t="s">
        <v>14</v>
      </c>
      <c r="J540" s="15">
        <v>650.14</v>
      </c>
      <c r="K540" s="13">
        <v>2</v>
      </c>
    </row>
    <row r="541" spans="1:11">
      <c r="A541" s="1">
        <f t="shared" si="8"/>
        <v>540</v>
      </c>
      <c r="B541" s="12">
        <v>40637451</v>
      </c>
      <c r="C541" s="4" t="s">
        <v>662</v>
      </c>
      <c r="D541" s="13" t="s">
        <v>663</v>
      </c>
      <c r="E541" s="14" t="s">
        <v>664</v>
      </c>
      <c r="F541" s="4" t="s">
        <v>665</v>
      </c>
      <c r="G541" s="15">
        <v>1024.24</v>
      </c>
      <c r="H541" s="4">
        <v>52</v>
      </c>
      <c r="I541" s="4" t="s">
        <v>14</v>
      </c>
      <c r="J541" s="15">
        <v>53260.480000000003</v>
      </c>
      <c r="K541" s="13">
        <v>52</v>
      </c>
    </row>
    <row r="542" spans="1:11">
      <c r="A542" s="1">
        <f t="shared" si="8"/>
        <v>541</v>
      </c>
      <c r="B542" s="12">
        <v>40691007</v>
      </c>
      <c r="C542" s="4" t="s">
        <v>666</v>
      </c>
      <c r="D542" s="13" t="s">
        <v>667</v>
      </c>
      <c r="E542" s="14">
        <v>7022102001</v>
      </c>
      <c r="F542" s="4" t="s">
        <v>668</v>
      </c>
      <c r="G542" s="15">
        <v>545.33000000000004</v>
      </c>
      <c r="H542" s="17">
        <v>19</v>
      </c>
      <c r="I542" s="4" t="s">
        <v>14</v>
      </c>
      <c r="J542" s="15">
        <v>10361.27</v>
      </c>
      <c r="K542" s="13">
        <v>19</v>
      </c>
    </row>
    <row r="543" spans="1:11">
      <c r="A543" s="1">
        <f t="shared" si="8"/>
        <v>542</v>
      </c>
      <c r="B543" s="12">
        <v>40625154</v>
      </c>
      <c r="C543" s="4"/>
      <c r="D543" s="13" t="s">
        <v>669</v>
      </c>
      <c r="E543" s="14"/>
      <c r="F543" s="4" t="s">
        <v>670</v>
      </c>
      <c r="G543" s="15">
        <v>305.87</v>
      </c>
      <c r="H543" s="17">
        <v>11</v>
      </c>
      <c r="I543" s="4" t="s">
        <v>14</v>
      </c>
      <c r="J543" s="15">
        <v>3364.57</v>
      </c>
      <c r="K543" s="13">
        <v>11</v>
      </c>
    </row>
    <row r="544" spans="1:11">
      <c r="A544" s="1">
        <f t="shared" si="8"/>
        <v>543</v>
      </c>
      <c r="B544" s="12">
        <v>40691056</v>
      </c>
      <c r="C544" s="4" t="s">
        <v>671</v>
      </c>
      <c r="D544" s="13" t="s">
        <v>672</v>
      </c>
      <c r="E544" s="14">
        <v>7063002401</v>
      </c>
      <c r="F544" s="4" t="s">
        <v>673</v>
      </c>
      <c r="G544" s="15">
        <v>9465.89</v>
      </c>
      <c r="H544" s="17">
        <v>2</v>
      </c>
      <c r="I544" s="4" t="s">
        <v>14</v>
      </c>
      <c r="J544" s="15">
        <v>18931.78</v>
      </c>
      <c r="K544" s="13">
        <v>2</v>
      </c>
    </row>
    <row r="545" spans="1:198">
      <c r="A545" s="1">
        <f t="shared" si="8"/>
        <v>544</v>
      </c>
      <c r="B545" s="12" t="s">
        <v>674</v>
      </c>
      <c r="C545" s="4"/>
      <c r="D545" s="13"/>
      <c r="E545" s="14"/>
      <c r="F545" s="4" t="s">
        <v>675</v>
      </c>
      <c r="G545" s="15" t="s">
        <v>149</v>
      </c>
      <c r="H545" s="17">
        <v>2</v>
      </c>
      <c r="I545" s="4" t="s">
        <v>14</v>
      </c>
      <c r="J545" s="15"/>
      <c r="K545" s="13">
        <v>2</v>
      </c>
    </row>
    <row r="546" spans="1:198">
      <c r="A546" s="1">
        <f t="shared" si="8"/>
        <v>545</v>
      </c>
      <c r="B546" s="12">
        <v>40753268</v>
      </c>
      <c r="C546" s="4" t="s">
        <v>676</v>
      </c>
      <c r="D546" s="13" t="s">
        <v>677</v>
      </c>
      <c r="E546" s="14" t="s">
        <v>678</v>
      </c>
      <c r="F546" s="4" t="s">
        <v>679</v>
      </c>
      <c r="G546" s="15">
        <v>502.84</v>
      </c>
      <c r="H546" s="4">
        <v>56</v>
      </c>
      <c r="I546" s="4" t="s">
        <v>59</v>
      </c>
      <c r="J546" s="15">
        <v>28159.040000000001</v>
      </c>
      <c r="K546" s="13">
        <v>56</v>
      </c>
    </row>
    <row r="547" spans="1:198">
      <c r="A547" s="1">
        <f t="shared" si="8"/>
        <v>546</v>
      </c>
      <c r="B547" s="12">
        <v>40660972</v>
      </c>
      <c r="C547" s="4"/>
      <c r="D547" s="13" t="s">
        <v>680</v>
      </c>
      <c r="E547" s="14"/>
      <c r="F547" s="4" t="s">
        <v>681</v>
      </c>
      <c r="G547" s="15">
        <v>53.22</v>
      </c>
      <c r="H547" s="4">
        <v>1</v>
      </c>
      <c r="I547" s="4" t="s">
        <v>14</v>
      </c>
      <c r="J547" s="15">
        <v>53.22</v>
      </c>
      <c r="K547" s="13">
        <v>1</v>
      </c>
    </row>
    <row r="548" spans="1:198">
      <c r="A548" s="1">
        <f t="shared" si="8"/>
        <v>547</v>
      </c>
      <c r="B548" s="12">
        <v>40660978</v>
      </c>
      <c r="C548" s="4"/>
      <c r="D548" s="13" t="s">
        <v>682</v>
      </c>
      <c r="E548" s="14"/>
      <c r="F548" s="4" t="s">
        <v>683</v>
      </c>
      <c r="G548" s="15">
        <v>351.29</v>
      </c>
      <c r="H548" s="4">
        <v>5</v>
      </c>
      <c r="I548" s="4" t="s">
        <v>14</v>
      </c>
      <c r="J548" s="15">
        <v>1756.45</v>
      </c>
      <c r="K548" s="13">
        <v>5</v>
      </c>
    </row>
    <row r="549" spans="1:198">
      <c r="A549" s="1">
        <f t="shared" si="8"/>
        <v>548</v>
      </c>
      <c r="B549" s="12">
        <v>40691035</v>
      </c>
      <c r="C549" s="4" t="s">
        <v>684</v>
      </c>
      <c r="D549" s="13" t="s">
        <v>685</v>
      </c>
      <c r="E549" s="14" t="s">
        <v>686</v>
      </c>
      <c r="F549" s="4" t="s">
        <v>687</v>
      </c>
      <c r="G549" s="15">
        <v>349.07</v>
      </c>
      <c r="H549" s="17">
        <v>4</v>
      </c>
      <c r="I549" s="4" t="s">
        <v>14</v>
      </c>
      <c r="J549" s="15">
        <v>1745.35</v>
      </c>
      <c r="K549" s="13">
        <v>3</v>
      </c>
    </row>
    <row r="550" spans="1:198">
      <c r="A550" s="1">
        <f t="shared" si="8"/>
        <v>549</v>
      </c>
      <c r="B550" s="12">
        <v>40651306</v>
      </c>
      <c r="C550" s="4" t="s">
        <v>688</v>
      </c>
      <c r="D550" s="13" t="s">
        <v>689</v>
      </c>
      <c r="E550" s="14"/>
      <c r="F550" s="4" t="s">
        <v>690</v>
      </c>
      <c r="G550" s="15">
        <v>45.4</v>
      </c>
      <c r="H550" s="17">
        <v>2</v>
      </c>
      <c r="I550" s="4" t="s">
        <v>14</v>
      </c>
      <c r="J550" s="15">
        <v>45.4</v>
      </c>
      <c r="K550" s="13" t="s">
        <v>691</v>
      </c>
    </row>
    <row r="551" spans="1:198" s="22" customFormat="1">
      <c r="A551" s="1">
        <f t="shared" si="8"/>
        <v>550</v>
      </c>
      <c r="B551" s="12">
        <v>40691023</v>
      </c>
      <c r="C551" s="4" t="s">
        <v>692</v>
      </c>
      <c r="D551" s="13" t="s">
        <v>693</v>
      </c>
      <c r="E551" s="14">
        <v>7015655250</v>
      </c>
      <c r="F551" s="4" t="s">
        <v>694</v>
      </c>
      <c r="G551" s="15">
        <v>2265.8200000000002</v>
      </c>
      <c r="H551" s="17">
        <v>4</v>
      </c>
      <c r="I551" s="4" t="s">
        <v>14</v>
      </c>
      <c r="J551" s="15">
        <v>9063.2800000000007</v>
      </c>
      <c r="K551" s="13">
        <v>4</v>
      </c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</row>
    <row r="552" spans="1:198">
      <c r="A552" s="1">
        <f t="shared" si="8"/>
        <v>551</v>
      </c>
      <c r="B552" s="12">
        <v>40691004</v>
      </c>
      <c r="C552" s="4" t="s">
        <v>695</v>
      </c>
      <c r="D552" s="13" t="s">
        <v>696</v>
      </c>
      <c r="E552" s="14">
        <v>7021900200</v>
      </c>
      <c r="F552" s="4" t="s">
        <v>697</v>
      </c>
      <c r="G552" s="15">
        <v>639.6</v>
      </c>
      <c r="H552" s="17">
        <v>45</v>
      </c>
      <c r="I552" s="4" t="s">
        <v>14</v>
      </c>
      <c r="J552" s="15">
        <v>28782</v>
      </c>
      <c r="K552" s="13">
        <v>45</v>
      </c>
    </row>
    <row r="553" spans="1:198">
      <c r="A553" s="1">
        <f t="shared" si="8"/>
        <v>552</v>
      </c>
      <c r="B553" s="12">
        <v>40691006</v>
      </c>
      <c r="C553" s="4" t="s">
        <v>698</v>
      </c>
      <c r="D553" s="13" t="s">
        <v>699</v>
      </c>
      <c r="E553" s="14">
        <v>7015604504</v>
      </c>
      <c r="F553" s="4" t="s">
        <v>700</v>
      </c>
      <c r="G553" s="15">
        <v>1019.27</v>
      </c>
      <c r="H553" s="17">
        <v>6</v>
      </c>
      <c r="I553" s="4" t="s">
        <v>14</v>
      </c>
      <c r="J553" s="15">
        <v>6115.62</v>
      </c>
      <c r="K553" s="13">
        <v>6</v>
      </c>
    </row>
    <row r="554" spans="1:198" s="22" customFormat="1">
      <c r="A554" s="1">
        <f t="shared" si="8"/>
        <v>553</v>
      </c>
      <c r="B554" s="12">
        <v>40693306</v>
      </c>
      <c r="C554" s="4" t="s">
        <v>701</v>
      </c>
      <c r="D554" s="13" t="s">
        <v>702</v>
      </c>
      <c r="E554" s="14" t="s">
        <v>703</v>
      </c>
      <c r="F554" s="4" t="s">
        <v>704</v>
      </c>
      <c r="G554" s="15">
        <v>300.82</v>
      </c>
      <c r="H554" s="4">
        <v>22</v>
      </c>
      <c r="I554" s="4" t="s">
        <v>14</v>
      </c>
      <c r="J554" s="15">
        <v>6618.04</v>
      </c>
      <c r="K554" s="13">
        <v>22</v>
      </c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</row>
    <row r="555" spans="1:198">
      <c r="A555" s="1">
        <f t="shared" si="8"/>
        <v>554</v>
      </c>
      <c r="B555" s="12">
        <v>40697097</v>
      </c>
      <c r="C555" s="4" t="s">
        <v>705</v>
      </c>
      <c r="D555" s="13" t="s">
        <v>706</v>
      </c>
      <c r="E555" s="14" t="s">
        <v>707</v>
      </c>
      <c r="F555" s="4" t="s">
        <v>708</v>
      </c>
      <c r="G555" s="15">
        <v>230.09</v>
      </c>
      <c r="H555" s="4">
        <v>45</v>
      </c>
      <c r="I555" s="4" t="s">
        <v>14</v>
      </c>
      <c r="J555" s="15">
        <v>10354.049999999999</v>
      </c>
      <c r="K555" s="13">
        <v>45</v>
      </c>
    </row>
    <row r="556" spans="1:198">
      <c r="A556" s="1">
        <f t="shared" si="8"/>
        <v>555</v>
      </c>
      <c r="B556" s="12">
        <v>40637443</v>
      </c>
      <c r="C556" s="4"/>
      <c r="D556" s="13" t="s">
        <v>709</v>
      </c>
      <c r="E556" s="14"/>
      <c r="F556" s="4" t="s">
        <v>710</v>
      </c>
      <c r="G556" s="15">
        <v>18167.18</v>
      </c>
      <c r="H556" s="4">
        <v>3</v>
      </c>
      <c r="I556" s="4" t="s">
        <v>14</v>
      </c>
      <c r="J556" s="15">
        <v>54501.54</v>
      </c>
      <c r="K556" s="13">
        <v>3</v>
      </c>
    </row>
    <row r="557" spans="1:198">
      <c r="A557" s="1">
        <f t="shared" si="8"/>
        <v>556</v>
      </c>
      <c r="B557" s="12">
        <v>40637449</v>
      </c>
      <c r="C557" s="4"/>
      <c r="D557" s="13" t="s">
        <v>711</v>
      </c>
      <c r="E557" s="14"/>
      <c r="F557" s="4" t="s">
        <v>710</v>
      </c>
      <c r="G557" s="15">
        <v>8556.5499999999993</v>
      </c>
      <c r="H557" s="4">
        <v>2</v>
      </c>
      <c r="I557" s="4" t="s">
        <v>14</v>
      </c>
      <c r="J557" s="15">
        <v>17113.099999999999</v>
      </c>
      <c r="K557" s="13">
        <v>2</v>
      </c>
    </row>
    <row r="558" spans="1:198">
      <c r="A558" s="1">
        <f t="shared" si="8"/>
        <v>557</v>
      </c>
      <c r="B558" s="12">
        <v>40693204</v>
      </c>
      <c r="C558" s="4"/>
      <c r="D558" s="13" t="s">
        <v>3465</v>
      </c>
      <c r="E558" s="14"/>
      <c r="F558" s="4" t="s">
        <v>712</v>
      </c>
      <c r="G558" s="15">
        <v>110.1</v>
      </c>
      <c r="H558" s="4">
        <v>2</v>
      </c>
      <c r="I558" s="4" t="s">
        <v>14</v>
      </c>
      <c r="J558" s="15">
        <v>1211.0999999999999</v>
      </c>
      <c r="K558" s="13" t="s">
        <v>3439</v>
      </c>
    </row>
    <row r="559" spans="1:198">
      <c r="A559" s="1">
        <f t="shared" si="8"/>
        <v>558</v>
      </c>
      <c r="B559" s="12">
        <v>40693309</v>
      </c>
      <c r="C559" s="4" t="s">
        <v>713</v>
      </c>
      <c r="D559" s="13" t="s">
        <v>714</v>
      </c>
      <c r="E559" s="14" t="s">
        <v>715</v>
      </c>
      <c r="F559" s="4" t="s">
        <v>716</v>
      </c>
      <c r="G559" s="15">
        <v>561.59</v>
      </c>
      <c r="H559" s="4">
        <v>2</v>
      </c>
      <c r="I559" s="4" t="s">
        <v>59</v>
      </c>
      <c r="J559" s="15">
        <v>1123.18</v>
      </c>
      <c r="K559" s="13">
        <v>2</v>
      </c>
    </row>
    <row r="560" spans="1:198">
      <c r="A560" s="1">
        <f t="shared" si="8"/>
        <v>559</v>
      </c>
      <c r="B560" s="12">
        <v>40691183</v>
      </c>
      <c r="C560" s="4"/>
      <c r="D560" s="13" t="s">
        <v>717</v>
      </c>
      <c r="E560" s="14"/>
      <c r="F560" s="4" t="s">
        <v>718</v>
      </c>
      <c r="G560" s="15">
        <v>9486.44</v>
      </c>
      <c r="H560" s="4">
        <v>1</v>
      </c>
      <c r="I560" s="4" t="s">
        <v>14</v>
      </c>
      <c r="J560" s="15">
        <v>9486.44</v>
      </c>
      <c r="K560" s="13">
        <v>1</v>
      </c>
    </row>
    <row r="561" spans="1:198">
      <c r="A561" s="1">
        <f t="shared" si="8"/>
        <v>560</v>
      </c>
      <c r="B561" s="12">
        <v>40694941</v>
      </c>
      <c r="C561" s="4" t="s">
        <v>719</v>
      </c>
      <c r="D561" s="13" t="s">
        <v>720</v>
      </c>
      <c r="E561" s="14" t="s">
        <v>20</v>
      </c>
      <c r="F561" s="4" t="s">
        <v>721</v>
      </c>
      <c r="G561" s="15">
        <v>1705.72</v>
      </c>
      <c r="H561" s="4">
        <v>1</v>
      </c>
      <c r="I561" s="4" t="s">
        <v>14</v>
      </c>
      <c r="J561" s="15">
        <v>1705.72</v>
      </c>
      <c r="K561" s="13">
        <v>0</v>
      </c>
    </row>
    <row r="562" spans="1:198">
      <c r="A562" s="1">
        <f t="shared" si="8"/>
        <v>561</v>
      </c>
      <c r="B562" s="12">
        <v>40691030</v>
      </c>
      <c r="C562" s="4" t="s">
        <v>722</v>
      </c>
      <c r="D562" s="13" t="s">
        <v>723</v>
      </c>
      <c r="E562" s="14">
        <v>7024950501</v>
      </c>
      <c r="F562" s="4" t="s">
        <v>724</v>
      </c>
      <c r="G562" s="15">
        <v>2196.96</v>
      </c>
      <c r="H562" s="17">
        <v>4</v>
      </c>
      <c r="I562" s="4" t="s">
        <v>14</v>
      </c>
      <c r="J562" s="15">
        <v>8787.84</v>
      </c>
      <c r="K562" s="13">
        <v>4</v>
      </c>
    </row>
    <row r="563" spans="1:198">
      <c r="A563" s="1">
        <f t="shared" si="8"/>
        <v>562</v>
      </c>
      <c r="B563" s="12">
        <v>40408603</v>
      </c>
      <c r="C563" s="4">
        <v>40668804</v>
      </c>
      <c r="D563" s="13" t="s">
        <v>725</v>
      </c>
      <c r="E563" s="14"/>
      <c r="F563" s="4" t="s">
        <v>726</v>
      </c>
      <c r="G563" s="15">
        <v>45.59</v>
      </c>
      <c r="H563" s="17">
        <v>20</v>
      </c>
      <c r="I563" s="4" t="s">
        <v>14</v>
      </c>
      <c r="J563" s="15">
        <v>0</v>
      </c>
      <c r="K563" s="13">
        <v>19</v>
      </c>
    </row>
    <row r="564" spans="1:198" s="22" customFormat="1">
      <c r="A564" s="1">
        <f t="shared" si="8"/>
        <v>563</v>
      </c>
      <c r="B564" s="12">
        <v>40248901</v>
      </c>
      <c r="C564" s="4"/>
      <c r="D564" s="13" t="s">
        <v>727</v>
      </c>
      <c r="E564" s="14"/>
      <c r="F564" s="4" t="s">
        <v>728</v>
      </c>
      <c r="G564" s="15">
        <v>1583.14</v>
      </c>
      <c r="H564" s="4">
        <v>4</v>
      </c>
      <c r="I564" s="4" t="s">
        <v>14</v>
      </c>
      <c r="J564" s="15">
        <v>6332.56</v>
      </c>
      <c r="K564" s="13">
        <v>4</v>
      </c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</row>
    <row r="565" spans="1:198" s="22" customFormat="1">
      <c r="A565" s="1">
        <f t="shared" si="8"/>
        <v>564</v>
      </c>
      <c r="B565" s="12">
        <v>40779592</v>
      </c>
      <c r="C565" s="4"/>
      <c r="D565" s="13" t="s">
        <v>729</v>
      </c>
      <c r="E565" s="14"/>
      <c r="F565" s="4" t="s">
        <v>730</v>
      </c>
      <c r="G565" s="15"/>
      <c r="H565" s="4">
        <v>4</v>
      </c>
      <c r="I565" s="4" t="s">
        <v>14</v>
      </c>
      <c r="J565" s="15"/>
      <c r="K565" s="13">
        <v>4</v>
      </c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</row>
    <row r="566" spans="1:198" s="22" customFormat="1">
      <c r="A566" s="1">
        <f t="shared" si="8"/>
        <v>565</v>
      </c>
      <c r="B566" s="12">
        <v>40697899</v>
      </c>
      <c r="C566" s="4"/>
      <c r="D566" s="13" t="s">
        <v>731</v>
      </c>
      <c r="E566" s="14"/>
      <c r="F566" s="4" t="s">
        <v>732</v>
      </c>
      <c r="G566" s="15">
        <v>75.16</v>
      </c>
      <c r="H566" s="4">
        <v>3</v>
      </c>
      <c r="I566" s="4" t="s">
        <v>14</v>
      </c>
      <c r="J566" s="15">
        <v>225.48</v>
      </c>
      <c r="K566" s="13">
        <v>3</v>
      </c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</row>
    <row r="567" spans="1:198" s="22" customFormat="1">
      <c r="A567" s="1">
        <f t="shared" si="8"/>
        <v>566</v>
      </c>
      <c r="B567" s="12">
        <v>40691939</v>
      </c>
      <c r="C567" s="4" t="s">
        <v>733</v>
      </c>
      <c r="D567" s="13" t="s">
        <v>734</v>
      </c>
      <c r="E567" s="14" t="s">
        <v>735</v>
      </c>
      <c r="F567" s="4" t="s">
        <v>736</v>
      </c>
      <c r="G567" s="15">
        <v>780.42</v>
      </c>
      <c r="H567" s="4">
        <v>18</v>
      </c>
      <c r="I567" s="4" t="s">
        <v>14</v>
      </c>
      <c r="J567" s="15">
        <v>14047.56</v>
      </c>
      <c r="K567" s="13">
        <v>18</v>
      </c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</row>
    <row r="568" spans="1:198" s="22" customFormat="1">
      <c r="A568" s="1">
        <f t="shared" si="8"/>
        <v>567</v>
      </c>
      <c r="B568" s="12">
        <v>40691944</v>
      </c>
      <c r="C568" s="4" t="s">
        <v>733</v>
      </c>
      <c r="D568" s="13" t="s">
        <v>734</v>
      </c>
      <c r="E568" s="14" t="s">
        <v>737</v>
      </c>
      <c r="F568" s="4" t="s">
        <v>738</v>
      </c>
      <c r="G568" s="15">
        <v>702.9</v>
      </c>
      <c r="H568" s="4">
        <v>12</v>
      </c>
      <c r="I568" s="4" t="s">
        <v>14</v>
      </c>
      <c r="J568" s="15">
        <v>8434.7999999999993</v>
      </c>
      <c r="K568" s="13">
        <v>12</v>
      </c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</row>
    <row r="569" spans="1:198" s="22" customFormat="1">
      <c r="A569" s="1">
        <f t="shared" si="8"/>
        <v>568</v>
      </c>
      <c r="B569" s="12">
        <v>40655074</v>
      </c>
      <c r="C569" s="4"/>
      <c r="D569" s="13" t="s">
        <v>739</v>
      </c>
      <c r="E569" s="14"/>
      <c r="F569" s="4" t="s">
        <v>740</v>
      </c>
      <c r="G569" s="15">
        <v>128.27000000000001</v>
      </c>
      <c r="H569" s="4">
        <v>8</v>
      </c>
      <c r="I569" s="4" t="s">
        <v>14</v>
      </c>
      <c r="J569" s="15">
        <v>1026.1600000000001</v>
      </c>
      <c r="K569" s="13">
        <v>8</v>
      </c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</row>
    <row r="570" spans="1:198" s="22" customFormat="1">
      <c r="A570" s="1">
        <f t="shared" si="8"/>
        <v>569</v>
      </c>
      <c r="B570" s="12">
        <v>40698580</v>
      </c>
      <c r="C570" s="4" t="s">
        <v>741</v>
      </c>
      <c r="D570" s="13" t="s">
        <v>742</v>
      </c>
      <c r="E570" s="14" t="s">
        <v>743</v>
      </c>
      <c r="F570" s="4" t="s">
        <v>744</v>
      </c>
      <c r="G570" s="15">
        <v>302.98</v>
      </c>
      <c r="H570" s="4">
        <v>5</v>
      </c>
      <c r="I570" s="4" t="s">
        <v>14</v>
      </c>
      <c r="J570" s="15">
        <v>2423.84</v>
      </c>
      <c r="K570" s="13">
        <v>5</v>
      </c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</row>
    <row r="571" spans="1:198" s="22" customFormat="1">
      <c r="A571" s="1">
        <f t="shared" si="8"/>
        <v>570</v>
      </c>
      <c r="B571" s="12">
        <v>40637449</v>
      </c>
      <c r="C571" s="4"/>
      <c r="D571" s="13" t="s">
        <v>711</v>
      </c>
      <c r="E571" s="14"/>
      <c r="F571" s="4" t="s">
        <v>745</v>
      </c>
      <c r="G571" s="15">
        <v>8556.5499999999993</v>
      </c>
      <c r="H571" s="4">
        <v>2</v>
      </c>
      <c r="I571" s="4" t="s">
        <v>14</v>
      </c>
      <c r="J571" s="15">
        <v>17113.099999999999</v>
      </c>
      <c r="K571" s="13">
        <v>2</v>
      </c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</row>
    <row r="572" spans="1:198">
      <c r="A572" s="1">
        <f t="shared" si="8"/>
        <v>571</v>
      </c>
      <c r="B572" s="12">
        <v>40637443</v>
      </c>
      <c r="C572" s="4"/>
      <c r="D572" s="13" t="s">
        <v>709</v>
      </c>
      <c r="E572" s="14"/>
      <c r="F572" s="4" t="s">
        <v>745</v>
      </c>
      <c r="G572" s="15">
        <v>18167.18</v>
      </c>
      <c r="H572" s="4">
        <v>2</v>
      </c>
      <c r="I572" s="4" t="s">
        <v>14</v>
      </c>
      <c r="J572" s="15">
        <v>36334.36</v>
      </c>
      <c r="K572" s="13">
        <v>2</v>
      </c>
    </row>
    <row r="573" spans="1:198">
      <c r="A573" s="1">
        <f t="shared" si="8"/>
        <v>572</v>
      </c>
      <c r="B573" s="12">
        <v>40660979</v>
      </c>
      <c r="C573" s="4"/>
      <c r="D573" s="13" t="s">
        <v>746</v>
      </c>
      <c r="E573" s="14"/>
      <c r="F573" s="4" t="s">
        <v>747</v>
      </c>
      <c r="G573" s="15">
        <v>22.79</v>
      </c>
      <c r="H573" s="4">
        <v>15</v>
      </c>
      <c r="I573" s="4" t="s">
        <v>14</v>
      </c>
      <c r="J573" s="15">
        <v>341.85</v>
      </c>
      <c r="K573" s="13">
        <v>15</v>
      </c>
    </row>
    <row r="574" spans="1:198">
      <c r="A574" s="1">
        <f t="shared" si="8"/>
        <v>573</v>
      </c>
      <c r="B574" s="12">
        <v>40660980</v>
      </c>
      <c r="C574" s="4"/>
      <c r="D574" s="13" t="s">
        <v>748</v>
      </c>
      <c r="E574" s="14"/>
      <c r="F574" s="4" t="s">
        <v>749</v>
      </c>
      <c r="G574" s="15">
        <v>66.790000000000006</v>
      </c>
      <c r="H574" s="4">
        <v>10</v>
      </c>
      <c r="I574" s="4" t="s">
        <v>14</v>
      </c>
      <c r="J574" s="15">
        <v>667.9</v>
      </c>
      <c r="K574" s="13">
        <v>10</v>
      </c>
    </row>
    <row r="575" spans="1:198">
      <c r="A575" s="1">
        <f t="shared" si="8"/>
        <v>574</v>
      </c>
      <c r="B575" s="12">
        <v>40698579</v>
      </c>
      <c r="C575" s="4" t="s">
        <v>750</v>
      </c>
      <c r="D575" s="13" t="s">
        <v>751</v>
      </c>
      <c r="E575" s="14" t="s">
        <v>752</v>
      </c>
      <c r="F575" s="4" t="s">
        <v>753</v>
      </c>
      <c r="G575" s="15">
        <v>333.28</v>
      </c>
      <c r="H575" s="4">
        <v>20</v>
      </c>
      <c r="I575" s="4" t="s">
        <v>14</v>
      </c>
      <c r="J575" s="15">
        <v>6665.6</v>
      </c>
      <c r="K575" s="13">
        <v>20</v>
      </c>
    </row>
    <row r="576" spans="1:198">
      <c r="A576" s="1">
        <f t="shared" si="8"/>
        <v>575</v>
      </c>
      <c r="B576" s="12">
        <v>40698581</v>
      </c>
      <c r="C576" s="4" t="s">
        <v>754</v>
      </c>
      <c r="D576" s="13" t="s">
        <v>755</v>
      </c>
      <c r="E576" s="14" t="s">
        <v>756</v>
      </c>
      <c r="F576" s="4" t="s">
        <v>757</v>
      </c>
      <c r="G576" s="15">
        <v>4995.1000000000004</v>
      </c>
      <c r="H576" s="4">
        <v>4</v>
      </c>
      <c r="I576" s="4" t="s">
        <v>14</v>
      </c>
      <c r="J576" s="15">
        <v>19980.400000000001</v>
      </c>
      <c r="K576" s="13">
        <v>4</v>
      </c>
    </row>
    <row r="577" spans="1:11">
      <c r="A577" s="1">
        <f t="shared" si="8"/>
        <v>576</v>
      </c>
      <c r="B577" s="12">
        <v>40694658</v>
      </c>
      <c r="C577" s="4"/>
      <c r="D577" s="13" t="s">
        <v>758</v>
      </c>
      <c r="E577" s="14"/>
      <c r="F577" s="4" t="s">
        <v>759</v>
      </c>
      <c r="G577" s="15">
        <v>6.1950000000000003</v>
      </c>
      <c r="H577" s="4">
        <v>6</v>
      </c>
      <c r="I577" s="4" t="s">
        <v>14</v>
      </c>
      <c r="J577" s="15">
        <v>37.17</v>
      </c>
      <c r="K577" s="13">
        <v>6</v>
      </c>
    </row>
    <row r="578" spans="1:11">
      <c r="A578" s="1">
        <f t="shared" ref="A578:A641" si="9">ROW()-1</f>
        <v>577</v>
      </c>
      <c r="B578" s="12">
        <v>40694653</v>
      </c>
      <c r="C578" s="4"/>
      <c r="D578" s="13" t="s">
        <v>760</v>
      </c>
      <c r="E578" s="14"/>
      <c r="F578" s="4" t="s">
        <v>761</v>
      </c>
      <c r="G578" s="15">
        <v>43.793333333333301</v>
      </c>
      <c r="H578" s="4">
        <v>6</v>
      </c>
      <c r="I578" s="4" t="s">
        <v>14</v>
      </c>
      <c r="J578" s="15">
        <v>262.76</v>
      </c>
      <c r="K578" s="13">
        <v>6</v>
      </c>
    </row>
    <row r="579" spans="1:11">
      <c r="A579" s="1">
        <f t="shared" si="9"/>
        <v>578</v>
      </c>
      <c r="B579" s="12">
        <v>40803639</v>
      </c>
      <c r="C579" s="4"/>
      <c r="D579" s="13" t="s">
        <v>762</v>
      </c>
      <c r="E579" s="14"/>
      <c r="F579" s="4" t="s">
        <v>763</v>
      </c>
      <c r="G579" s="15">
        <v>270.98</v>
      </c>
      <c r="H579" s="4">
        <v>5</v>
      </c>
      <c r="I579" s="4" t="s">
        <v>14</v>
      </c>
      <c r="J579" s="15">
        <v>1354.9</v>
      </c>
      <c r="K579" s="13">
        <v>5</v>
      </c>
    </row>
    <row r="580" spans="1:11">
      <c r="A580" s="1">
        <f t="shared" si="9"/>
        <v>579</v>
      </c>
      <c r="B580" s="12">
        <v>40803644</v>
      </c>
      <c r="C580" s="4"/>
      <c r="D580" s="13" t="s">
        <v>764</v>
      </c>
      <c r="E580" s="14"/>
      <c r="F580" s="4" t="s">
        <v>765</v>
      </c>
      <c r="G580" s="15">
        <v>331.59</v>
      </c>
      <c r="H580" s="4">
        <v>10</v>
      </c>
      <c r="I580" s="4" t="s">
        <v>14</v>
      </c>
      <c r="J580" s="15">
        <v>3315.9</v>
      </c>
      <c r="K580" s="13">
        <v>10</v>
      </c>
    </row>
    <row r="581" spans="1:11">
      <c r="A581" s="1">
        <f t="shared" si="9"/>
        <v>580</v>
      </c>
      <c r="B581" s="12">
        <v>40694654</v>
      </c>
      <c r="C581" s="4"/>
      <c r="D581" s="13" t="s">
        <v>766</v>
      </c>
      <c r="E581" s="14"/>
      <c r="F581" s="4" t="s">
        <v>767</v>
      </c>
      <c r="G581" s="15">
        <v>127.45</v>
      </c>
      <c r="H581" s="4">
        <v>3</v>
      </c>
      <c r="I581" s="4" t="s">
        <v>14</v>
      </c>
      <c r="J581" s="15">
        <v>382.35</v>
      </c>
      <c r="K581" s="13">
        <v>3</v>
      </c>
    </row>
    <row r="582" spans="1:11">
      <c r="A582" s="1">
        <f t="shared" si="9"/>
        <v>581</v>
      </c>
      <c r="B582" s="12">
        <v>40693117</v>
      </c>
      <c r="C582" s="4" t="s">
        <v>565</v>
      </c>
      <c r="D582" s="13" t="s">
        <v>566</v>
      </c>
      <c r="E582" s="14" t="s">
        <v>768</v>
      </c>
      <c r="F582" s="4" t="s">
        <v>769</v>
      </c>
      <c r="G582" s="15">
        <v>261.39999999999998</v>
      </c>
      <c r="H582" s="4">
        <v>48</v>
      </c>
      <c r="I582" s="4" t="s">
        <v>14</v>
      </c>
      <c r="J582" s="15">
        <v>12547.2</v>
      </c>
      <c r="K582" s="13">
        <v>48</v>
      </c>
    </row>
    <row r="583" spans="1:11">
      <c r="A583" s="1">
        <f t="shared" si="9"/>
        <v>582</v>
      </c>
      <c r="B583" s="12">
        <v>40729305</v>
      </c>
      <c r="C583" s="4"/>
      <c r="D583" s="13" t="s">
        <v>770</v>
      </c>
      <c r="E583" s="14"/>
      <c r="F583" s="4" t="s">
        <v>771</v>
      </c>
      <c r="G583" s="15">
        <v>873.14499999999998</v>
      </c>
      <c r="H583" s="4">
        <v>2</v>
      </c>
      <c r="I583" s="4" t="s">
        <v>59</v>
      </c>
      <c r="J583" s="15">
        <v>1746.29</v>
      </c>
      <c r="K583" s="13">
        <v>2</v>
      </c>
    </row>
    <row r="584" spans="1:11">
      <c r="A584" s="1">
        <f t="shared" si="9"/>
        <v>583</v>
      </c>
      <c r="B584" s="12">
        <v>40695026</v>
      </c>
      <c r="C584" s="4"/>
      <c r="D584" s="13" t="s">
        <v>772</v>
      </c>
      <c r="E584" s="14"/>
      <c r="F584" s="4" t="s">
        <v>773</v>
      </c>
      <c r="G584" s="15">
        <v>67.650000000000006</v>
      </c>
      <c r="H584" s="4">
        <v>20</v>
      </c>
      <c r="I584" s="4" t="s">
        <v>14</v>
      </c>
      <c r="J584" s="15">
        <v>1353</v>
      </c>
      <c r="K584" s="13">
        <v>20</v>
      </c>
    </row>
    <row r="585" spans="1:11">
      <c r="A585" s="1">
        <f t="shared" si="9"/>
        <v>584</v>
      </c>
      <c r="B585" s="12">
        <v>40760823</v>
      </c>
      <c r="C585" s="4" t="s">
        <v>774</v>
      </c>
      <c r="D585" s="13" t="s">
        <v>775</v>
      </c>
      <c r="E585" s="14" t="s">
        <v>776</v>
      </c>
      <c r="F585" s="4" t="s">
        <v>777</v>
      </c>
      <c r="G585" s="15">
        <v>1274.29</v>
      </c>
      <c r="H585" s="4">
        <v>1</v>
      </c>
      <c r="I585" s="4" t="s">
        <v>14</v>
      </c>
      <c r="J585" s="15">
        <v>1274.29</v>
      </c>
      <c r="K585" s="13">
        <v>1</v>
      </c>
    </row>
    <row r="586" spans="1:11">
      <c r="A586" s="1">
        <f t="shared" si="9"/>
        <v>585</v>
      </c>
      <c r="B586" s="12">
        <v>40694660</v>
      </c>
      <c r="C586" s="4"/>
      <c r="D586" s="13" t="s">
        <v>778</v>
      </c>
      <c r="E586" s="14"/>
      <c r="F586" s="4" t="s">
        <v>779</v>
      </c>
      <c r="G586" s="15">
        <v>75.536666666666704</v>
      </c>
      <c r="H586" s="4">
        <v>3</v>
      </c>
      <c r="I586" s="4" t="s">
        <v>14</v>
      </c>
      <c r="J586" s="15">
        <v>226.61</v>
      </c>
      <c r="K586" s="13">
        <v>3</v>
      </c>
    </row>
    <row r="587" spans="1:11">
      <c r="A587" s="1">
        <f t="shared" si="9"/>
        <v>586</v>
      </c>
      <c r="B587" s="12">
        <v>40760825</v>
      </c>
      <c r="C587" s="4" t="s">
        <v>780</v>
      </c>
      <c r="D587" s="13" t="s">
        <v>781</v>
      </c>
      <c r="E587" s="14" t="s">
        <v>782</v>
      </c>
      <c r="F587" s="4" t="s">
        <v>783</v>
      </c>
      <c r="G587" s="15">
        <v>1392.92</v>
      </c>
      <c r="H587" s="4">
        <v>1</v>
      </c>
      <c r="I587" s="4" t="s">
        <v>14</v>
      </c>
      <c r="J587" s="15">
        <v>1392.92</v>
      </c>
      <c r="K587" s="13">
        <v>1</v>
      </c>
    </row>
    <row r="588" spans="1:11">
      <c r="A588" s="1">
        <f t="shared" si="9"/>
        <v>587</v>
      </c>
      <c r="B588" s="12">
        <v>40697077</v>
      </c>
      <c r="C588" s="4" t="s">
        <v>784</v>
      </c>
      <c r="D588" s="13" t="s">
        <v>785</v>
      </c>
      <c r="E588" s="14" t="s">
        <v>786</v>
      </c>
      <c r="F588" s="4" t="s">
        <v>787</v>
      </c>
      <c r="G588" s="15">
        <v>20.82</v>
      </c>
      <c r="H588" s="4">
        <v>64</v>
      </c>
      <c r="I588" s="4" t="s">
        <v>14</v>
      </c>
      <c r="J588" s="15">
        <v>1332.48</v>
      </c>
      <c r="K588" s="13">
        <v>64</v>
      </c>
    </row>
    <row r="589" spans="1:11">
      <c r="A589" s="1">
        <f t="shared" si="9"/>
        <v>588</v>
      </c>
      <c r="B589" s="12">
        <v>40697076</v>
      </c>
      <c r="C589" s="4" t="s">
        <v>784</v>
      </c>
      <c r="D589" s="13" t="s">
        <v>788</v>
      </c>
      <c r="E589" s="14" t="s">
        <v>789</v>
      </c>
      <c r="F589" s="4" t="s">
        <v>790</v>
      </c>
      <c r="G589" s="15">
        <v>20.88</v>
      </c>
      <c r="H589" s="4">
        <v>64</v>
      </c>
      <c r="I589" s="4" t="s">
        <v>14</v>
      </c>
      <c r="J589" s="15">
        <v>1336.32</v>
      </c>
      <c r="K589" s="13">
        <v>64</v>
      </c>
    </row>
    <row r="590" spans="1:11">
      <c r="A590" s="1">
        <f t="shared" si="9"/>
        <v>589</v>
      </c>
      <c r="B590" s="12">
        <v>40694651</v>
      </c>
      <c r="C590" s="4"/>
      <c r="D590" s="13" t="s">
        <v>791</v>
      </c>
      <c r="E590" s="14"/>
      <c r="F590" s="4" t="s">
        <v>792</v>
      </c>
      <c r="G590" s="15">
        <v>13.76</v>
      </c>
      <c r="H590" s="4">
        <v>7</v>
      </c>
      <c r="I590" s="4" t="s">
        <v>14</v>
      </c>
      <c r="J590" s="15">
        <v>96.32</v>
      </c>
      <c r="K590" s="13">
        <v>7</v>
      </c>
    </row>
    <row r="591" spans="1:11">
      <c r="A591" s="1">
        <f t="shared" si="9"/>
        <v>590</v>
      </c>
      <c r="B591" s="12">
        <v>40694655</v>
      </c>
      <c r="C591" s="4"/>
      <c r="D591" s="13" t="s">
        <v>793</v>
      </c>
      <c r="E591" s="14"/>
      <c r="F591" s="4" t="s">
        <v>794</v>
      </c>
      <c r="G591" s="15">
        <v>52.29</v>
      </c>
      <c r="H591" s="4">
        <v>6</v>
      </c>
      <c r="I591" s="4" t="s">
        <v>14</v>
      </c>
      <c r="J591" s="15">
        <v>313.74</v>
      </c>
      <c r="K591" s="13">
        <v>6</v>
      </c>
    </row>
    <row r="592" spans="1:11">
      <c r="A592" s="1">
        <f t="shared" si="9"/>
        <v>591</v>
      </c>
      <c r="B592" s="12">
        <v>40637449</v>
      </c>
      <c r="C592" s="4"/>
      <c r="D592" s="13" t="s">
        <v>711</v>
      </c>
      <c r="E592" s="14"/>
      <c r="F592" s="4" t="s">
        <v>795</v>
      </c>
      <c r="G592" s="15">
        <v>8556.5499999999993</v>
      </c>
      <c r="H592" s="4">
        <v>2</v>
      </c>
      <c r="I592" s="4" t="s">
        <v>14</v>
      </c>
      <c r="J592" s="15">
        <v>17113.099999999999</v>
      </c>
      <c r="K592" s="13">
        <v>2</v>
      </c>
    </row>
    <row r="593" spans="1:198" s="22" customFormat="1">
      <c r="A593" s="1">
        <f t="shared" si="9"/>
        <v>592</v>
      </c>
      <c r="B593" s="12">
        <v>40698582</v>
      </c>
      <c r="C593" s="4" t="s">
        <v>796</v>
      </c>
      <c r="D593" s="13" t="s">
        <v>797</v>
      </c>
      <c r="E593" s="14" t="s">
        <v>798</v>
      </c>
      <c r="F593" s="4" t="s">
        <v>799</v>
      </c>
      <c r="G593" s="15">
        <v>15.15</v>
      </c>
      <c r="H593" s="4">
        <v>54</v>
      </c>
      <c r="I593" s="4" t="s">
        <v>14</v>
      </c>
      <c r="J593" s="15">
        <v>818.1</v>
      </c>
      <c r="K593" s="13">
        <v>54</v>
      </c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</row>
    <row r="594" spans="1:198">
      <c r="A594" s="1">
        <f t="shared" si="9"/>
        <v>593</v>
      </c>
      <c r="B594" s="12">
        <v>40697924</v>
      </c>
      <c r="C594" s="4"/>
      <c r="D594" s="13" t="s">
        <v>800</v>
      </c>
      <c r="E594" s="14"/>
      <c r="F594" s="4" t="s">
        <v>801</v>
      </c>
      <c r="G594" s="15">
        <v>1040.6300000000001</v>
      </c>
      <c r="H594" s="4">
        <v>2</v>
      </c>
      <c r="I594" s="4" t="s">
        <v>14</v>
      </c>
      <c r="J594" s="15">
        <v>2081.2600000000002</v>
      </c>
      <c r="K594" s="13">
        <v>2</v>
      </c>
    </row>
    <row r="595" spans="1:198">
      <c r="A595" s="1">
        <f t="shared" si="9"/>
        <v>594</v>
      </c>
      <c r="B595" s="12">
        <v>40693117</v>
      </c>
      <c r="C595" s="4"/>
      <c r="D595" s="13" t="s">
        <v>802</v>
      </c>
      <c r="E595" s="14"/>
      <c r="F595" s="4" t="s">
        <v>803</v>
      </c>
      <c r="G595" s="15">
        <v>261.39999999999998</v>
      </c>
      <c r="H595" s="4">
        <v>4</v>
      </c>
      <c r="I595" s="4" t="s">
        <v>14</v>
      </c>
      <c r="J595" s="15">
        <v>2352.6</v>
      </c>
      <c r="K595" s="13">
        <v>4</v>
      </c>
    </row>
    <row r="596" spans="1:198">
      <c r="A596" s="1">
        <f t="shared" si="9"/>
        <v>595</v>
      </c>
      <c r="B596" s="23">
        <v>40694922</v>
      </c>
      <c r="C596" s="24" t="s">
        <v>18</v>
      </c>
      <c r="D596" s="25" t="s">
        <v>804</v>
      </c>
      <c r="E596" s="26" t="s">
        <v>17</v>
      </c>
      <c r="F596" s="24" t="s">
        <v>805</v>
      </c>
      <c r="G596" s="15">
        <v>692.73</v>
      </c>
      <c r="H596" s="24">
        <v>2</v>
      </c>
      <c r="I596" s="24" t="s">
        <v>14</v>
      </c>
      <c r="J596" s="15">
        <v>1385.46</v>
      </c>
      <c r="K596" s="25">
        <v>2</v>
      </c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  <c r="BV596" s="22"/>
      <c r="BW596" s="22"/>
      <c r="BX596" s="22"/>
      <c r="BY596" s="22"/>
      <c r="BZ596" s="22"/>
      <c r="CA596" s="22"/>
      <c r="CB596" s="22"/>
      <c r="CC596" s="22"/>
      <c r="CD596" s="22"/>
      <c r="CE596" s="22"/>
      <c r="CF596" s="22"/>
      <c r="CG596" s="22"/>
      <c r="CH596" s="22"/>
      <c r="CI596" s="22"/>
      <c r="CJ596" s="22"/>
      <c r="CK596" s="22"/>
      <c r="CL596" s="22"/>
      <c r="CM596" s="22"/>
      <c r="CN596" s="22"/>
      <c r="CO596" s="22"/>
      <c r="CP596" s="22"/>
      <c r="CQ596" s="22"/>
      <c r="CR596" s="22"/>
      <c r="CS596" s="22"/>
      <c r="CT596" s="22"/>
      <c r="CU596" s="22"/>
      <c r="CV596" s="22"/>
      <c r="CW596" s="22"/>
      <c r="CX596" s="22"/>
      <c r="CY596" s="22"/>
      <c r="CZ596" s="22"/>
      <c r="DA596" s="22"/>
      <c r="DB596" s="22"/>
      <c r="DC596" s="22"/>
      <c r="DD596" s="22"/>
      <c r="DE596" s="22"/>
      <c r="DF596" s="22"/>
      <c r="DG596" s="22"/>
      <c r="DH596" s="22"/>
      <c r="DI596" s="22"/>
      <c r="DJ596" s="22"/>
      <c r="DK596" s="22"/>
      <c r="DL596" s="22"/>
      <c r="DM596" s="22"/>
      <c r="DN596" s="22"/>
      <c r="DO596" s="22"/>
      <c r="DP596" s="22"/>
      <c r="DQ596" s="22"/>
      <c r="DR596" s="22"/>
      <c r="DS596" s="22"/>
      <c r="DT596" s="22"/>
      <c r="DU596" s="22"/>
      <c r="DV596" s="22"/>
      <c r="DW596" s="22"/>
      <c r="DX596" s="22"/>
      <c r="DY596" s="22"/>
      <c r="DZ596" s="22"/>
      <c r="EA596" s="22"/>
      <c r="EB596" s="22"/>
      <c r="EC596" s="22"/>
      <c r="ED596" s="22"/>
      <c r="EE596" s="22"/>
      <c r="EF596" s="22"/>
      <c r="EG596" s="22"/>
      <c r="EH596" s="22"/>
      <c r="EI596" s="22"/>
      <c r="EJ596" s="22"/>
      <c r="EK596" s="22"/>
      <c r="EL596" s="22"/>
      <c r="EM596" s="22"/>
      <c r="EN596" s="22"/>
      <c r="EO596" s="22"/>
      <c r="EP596" s="22"/>
      <c r="EQ596" s="22"/>
      <c r="ER596" s="22"/>
      <c r="ES596" s="22"/>
      <c r="ET596" s="22"/>
      <c r="EU596" s="22"/>
      <c r="EV596" s="22"/>
      <c r="EW596" s="22"/>
      <c r="EX596" s="22"/>
      <c r="EY596" s="22"/>
      <c r="EZ596" s="22"/>
      <c r="FA596" s="22"/>
      <c r="FB596" s="22"/>
      <c r="FC596" s="22"/>
      <c r="FD596" s="22"/>
      <c r="FE596" s="22"/>
      <c r="FF596" s="22"/>
      <c r="FG596" s="22"/>
      <c r="FH596" s="22"/>
      <c r="FI596" s="22"/>
      <c r="FJ596" s="22"/>
      <c r="FK596" s="22"/>
      <c r="FL596" s="22"/>
      <c r="FM596" s="22"/>
      <c r="FN596" s="22"/>
      <c r="FO596" s="22"/>
      <c r="FP596" s="22"/>
      <c r="FQ596" s="22"/>
      <c r="FR596" s="22"/>
      <c r="FS596" s="22"/>
      <c r="FT596" s="22"/>
      <c r="FU596" s="22"/>
      <c r="FV596" s="22"/>
      <c r="FW596" s="22"/>
      <c r="FX596" s="22"/>
      <c r="FY596" s="22"/>
      <c r="FZ596" s="22"/>
      <c r="GA596" s="22"/>
      <c r="GB596" s="22"/>
      <c r="GC596" s="22"/>
      <c r="GD596" s="22"/>
      <c r="GE596" s="22"/>
      <c r="GF596" s="22"/>
      <c r="GG596" s="22"/>
      <c r="GH596" s="22"/>
      <c r="GI596" s="22"/>
      <c r="GJ596" s="22"/>
      <c r="GK596" s="22"/>
      <c r="GL596" s="22"/>
      <c r="GM596" s="22"/>
      <c r="GN596" s="22"/>
      <c r="GO596" s="22"/>
      <c r="GP596" s="22"/>
    </row>
    <row r="597" spans="1:198">
      <c r="A597" s="1">
        <f t="shared" si="9"/>
        <v>596</v>
      </c>
      <c r="B597" s="12">
        <v>40660968</v>
      </c>
      <c r="C597" s="4"/>
      <c r="D597" s="13" t="s">
        <v>806</v>
      </c>
      <c r="E597" s="14"/>
      <c r="F597" s="4" t="s">
        <v>807</v>
      </c>
      <c r="G597" s="15">
        <v>387.35</v>
      </c>
      <c r="H597" s="4">
        <v>2</v>
      </c>
      <c r="I597" s="4" t="s">
        <v>14</v>
      </c>
      <c r="J597" s="15">
        <v>774.7</v>
      </c>
      <c r="K597" s="13">
        <v>2</v>
      </c>
    </row>
    <row r="598" spans="1:198">
      <c r="A598" s="1">
        <f t="shared" si="9"/>
        <v>597</v>
      </c>
      <c r="B598" s="12">
        <v>40694663</v>
      </c>
      <c r="C598" s="4"/>
      <c r="D598" s="13" t="s">
        <v>808</v>
      </c>
      <c r="E598" s="14"/>
      <c r="F598" s="4" t="s">
        <v>809</v>
      </c>
      <c r="G598" s="15">
        <v>65.11</v>
      </c>
      <c r="H598" s="4">
        <v>3</v>
      </c>
      <c r="I598" s="4" t="s">
        <v>14</v>
      </c>
      <c r="J598" s="15">
        <v>195.33</v>
      </c>
      <c r="K598" s="13">
        <v>3</v>
      </c>
    </row>
    <row r="599" spans="1:198">
      <c r="A599" s="1">
        <f t="shared" si="9"/>
        <v>598</v>
      </c>
      <c r="B599" s="12">
        <v>40753267</v>
      </c>
      <c r="C599" s="4" t="s">
        <v>810</v>
      </c>
      <c r="D599" s="13" t="s">
        <v>811</v>
      </c>
      <c r="E599" s="14" t="s">
        <v>678</v>
      </c>
      <c r="F599" s="4" t="s">
        <v>812</v>
      </c>
      <c r="G599" s="15">
        <v>123.82</v>
      </c>
      <c r="H599" s="4">
        <v>14</v>
      </c>
      <c r="I599" s="4" t="s">
        <v>14</v>
      </c>
      <c r="J599" s="15">
        <v>1733.48</v>
      </c>
      <c r="K599" s="13">
        <v>14</v>
      </c>
    </row>
    <row r="600" spans="1:198">
      <c r="A600" s="1">
        <f t="shared" si="9"/>
        <v>599</v>
      </c>
      <c r="B600" s="12">
        <v>40667910</v>
      </c>
      <c r="C600" s="4"/>
      <c r="D600" s="13" t="s">
        <v>813</v>
      </c>
      <c r="E600" s="14"/>
      <c r="F600" s="4" t="s">
        <v>814</v>
      </c>
      <c r="G600" s="15">
        <v>314.74</v>
      </c>
      <c r="H600" s="4">
        <v>1</v>
      </c>
      <c r="I600" s="4" t="s">
        <v>14</v>
      </c>
      <c r="J600" s="15">
        <v>314.74</v>
      </c>
      <c r="K600" s="13">
        <v>1</v>
      </c>
    </row>
    <row r="601" spans="1:198">
      <c r="A601" s="1">
        <f t="shared" si="9"/>
        <v>600</v>
      </c>
      <c r="B601" s="12">
        <v>40625911</v>
      </c>
      <c r="C601" s="4"/>
      <c r="D601" s="13" t="s">
        <v>815</v>
      </c>
      <c r="E601" s="14"/>
      <c r="F601" s="4" t="s">
        <v>816</v>
      </c>
      <c r="G601" s="15">
        <v>961.48</v>
      </c>
      <c r="H601" s="4">
        <v>2</v>
      </c>
      <c r="I601" s="4" t="s">
        <v>14</v>
      </c>
      <c r="J601" s="15">
        <v>1922.96</v>
      </c>
      <c r="K601" s="13">
        <v>2</v>
      </c>
    </row>
    <row r="602" spans="1:198">
      <c r="A602" s="1">
        <f t="shared" si="9"/>
        <v>601</v>
      </c>
      <c r="B602" s="12" t="s">
        <v>817</v>
      </c>
      <c r="C602" s="4"/>
      <c r="D602" s="13"/>
      <c r="E602" s="14"/>
      <c r="F602" s="4" t="s">
        <v>818</v>
      </c>
      <c r="G602" s="15" t="s">
        <v>149</v>
      </c>
      <c r="H602" s="4">
        <v>2</v>
      </c>
      <c r="I602" s="4" t="s">
        <v>14</v>
      </c>
      <c r="J602" s="15"/>
      <c r="K602" s="13">
        <v>2</v>
      </c>
    </row>
    <row r="603" spans="1:198">
      <c r="A603" s="1">
        <f t="shared" si="9"/>
        <v>602</v>
      </c>
      <c r="B603" s="12">
        <v>40250264</v>
      </c>
      <c r="C603" s="4"/>
      <c r="D603" s="13" t="s">
        <v>819</v>
      </c>
      <c r="E603" s="14"/>
      <c r="F603" s="4" t="s">
        <v>820</v>
      </c>
      <c r="G603" s="15">
        <v>74.125555555555593</v>
      </c>
      <c r="H603" s="4">
        <v>54</v>
      </c>
      <c r="I603" s="4" t="s">
        <v>14</v>
      </c>
      <c r="J603" s="15">
        <v>4002.78</v>
      </c>
      <c r="K603" s="13">
        <v>54</v>
      </c>
    </row>
    <row r="604" spans="1:198">
      <c r="A604" s="1">
        <f t="shared" si="9"/>
        <v>603</v>
      </c>
      <c r="B604" s="12">
        <v>40695022</v>
      </c>
      <c r="C604" s="4" t="s">
        <v>821</v>
      </c>
      <c r="D604" s="13" t="s">
        <v>822</v>
      </c>
      <c r="E604" s="14" t="s">
        <v>823</v>
      </c>
      <c r="F604" s="4" t="s">
        <v>824</v>
      </c>
      <c r="G604" s="15">
        <v>5.42</v>
      </c>
      <c r="H604" s="4">
        <v>150</v>
      </c>
      <c r="I604" s="4" t="s">
        <v>14</v>
      </c>
      <c r="J604" s="15">
        <v>813</v>
      </c>
      <c r="K604" s="13">
        <v>150</v>
      </c>
    </row>
    <row r="605" spans="1:198">
      <c r="A605" s="1">
        <f t="shared" si="9"/>
        <v>604</v>
      </c>
      <c r="B605" s="12">
        <v>40694930</v>
      </c>
      <c r="C605" s="4" t="s">
        <v>825</v>
      </c>
      <c r="D605" s="13" t="s">
        <v>826</v>
      </c>
      <c r="E605" s="14" t="s">
        <v>17</v>
      </c>
      <c r="F605" s="4" t="s">
        <v>827</v>
      </c>
      <c r="G605" s="15">
        <v>26.11</v>
      </c>
      <c r="H605" s="4">
        <v>4</v>
      </c>
      <c r="I605" s="4" t="s">
        <v>14</v>
      </c>
      <c r="J605" s="15">
        <v>104.44</v>
      </c>
      <c r="K605" s="13">
        <v>5</v>
      </c>
    </row>
    <row r="606" spans="1:198">
      <c r="A606" s="1">
        <f t="shared" si="9"/>
        <v>605</v>
      </c>
      <c r="B606" s="12">
        <v>40694927</v>
      </c>
      <c r="C606" s="4" t="s">
        <v>828</v>
      </c>
      <c r="D606" s="13" t="s">
        <v>829</v>
      </c>
      <c r="E606" s="14" t="s">
        <v>17</v>
      </c>
      <c r="F606" s="4" t="s">
        <v>830</v>
      </c>
      <c r="G606" s="15">
        <v>69.45</v>
      </c>
      <c r="H606" s="4">
        <v>2</v>
      </c>
      <c r="I606" s="4" t="s">
        <v>14</v>
      </c>
      <c r="J606" s="15">
        <v>138.9</v>
      </c>
      <c r="K606" s="13">
        <v>2</v>
      </c>
    </row>
    <row r="607" spans="1:198">
      <c r="A607" s="1">
        <f t="shared" si="9"/>
        <v>606</v>
      </c>
      <c r="B607" s="12">
        <v>40691381</v>
      </c>
      <c r="C607" s="4" t="s">
        <v>831</v>
      </c>
      <c r="D607" s="13" t="s">
        <v>832</v>
      </c>
      <c r="E607" s="14" t="s">
        <v>833</v>
      </c>
      <c r="F607" s="4" t="s">
        <v>834</v>
      </c>
      <c r="G607" s="15">
        <v>2045.57</v>
      </c>
      <c r="H607" s="4">
        <v>1</v>
      </c>
      <c r="I607" s="4" t="s">
        <v>14</v>
      </c>
      <c r="J607" s="15">
        <v>4091.14</v>
      </c>
      <c r="K607" s="13">
        <v>1</v>
      </c>
    </row>
    <row r="608" spans="1:198">
      <c r="A608" s="1">
        <f t="shared" si="9"/>
        <v>607</v>
      </c>
      <c r="B608" s="12">
        <v>40737253</v>
      </c>
      <c r="C608" s="4"/>
      <c r="D608" s="13" t="s">
        <v>835</v>
      </c>
      <c r="E608" s="14"/>
      <c r="F608" s="4" t="s">
        <v>836</v>
      </c>
      <c r="G608" s="15">
        <v>4.45</v>
      </c>
      <c r="H608" s="4">
        <v>79</v>
      </c>
      <c r="I608" s="4" t="s">
        <v>14</v>
      </c>
      <c r="J608" s="15">
        <v>351.55</v>
      </c>
      <c r="K608" s="13">
        <v>79</v>
      </c>
    </row>
    <row r="609" spans="1:11">
      <c r="A609" s="1">
        <f t="shared" si="9"/>
        <v>608</v>
      </c>
      <c r="B609" s="12" t="s">
        <v>837</v>
      </c>
      <c r="C609" s="4"/>
      <c r="D609" s="13"/>
      <c r="E609" s="14"/>
      <c r="F609" s="4" t="s">
        <v>838</v>
      </c>
      <c r="G609" s="15" t="s">
        <v>149</v>
      </c>
      <c r="H609" s="4">
        <v>2</v>
      </c>
      <c r="I609" s="4" t="s">
        <v>14</v>
      </c>
      <c r="J609" s="15"/>
      <c r="K609" s="13">
        <v>2</v>
      </c>
    </row>
    <row r="610" spans="1:11">
      <c r="A610" s="1">
        <f t="shared" si="9"/>
        <v>609</v>
      </c>
      <c r="B610" s="12">
        <v>40694929</v>
      </c>
      <c r="C610" s="4" t="s">
        <v>839</v>
      </c>
      <c r="D610" s="13" t="s">
        <v>840</v>
      </c>
      <c r="E610" s="14" t="s">
        <v>17</v>
      </c>
      <c r="F610" s="4" t="s">
        <v>841</v>
      </c>
      <c r="G610" s="15">
        <v>142.38</v>
      </c>
      <c r="H610" s="4">
        <v>4</v>
      </c>
      <c r="I610" s="4" t="s">
        <v>14</v>
      </c>
      <c r="J610" s="15">
        <v>569.52</v>
      </c>
      <c r="K610" s="13">
        <v>4</v>
      </c>
    </row>
    <row r="611" spans="1:11">
      <c r="A611" s="1">
        <f t="shared" si="9"/>
        <v>610</v>
      </c>
      <c r="B611" s="12">
        <v>40694925</v>
      </c>
      <c r="C611" s="4" t="s">
        <v>842</v>
      </c>
      <c r="D611" s="13" t="s">
        <v>843</v>
      </c>
      <c r="E611" s="14" t="s">
        <v>17</v>
      </c>
      <c r="F611" s="4" t="s">
        <v>844</v>
      </c>
      <c r="G611" s="15">
        <v>396.84</v>
      </c>
      <c r="H611" s="4">
        <v>2</v>
      </c>
      <c r="I611" s="4" t="s">
        <v>14</v>
      </c>
      <c r="J611" s="15">
        <v>793.68</v>
      </c>
      <c r="K611" s="13">
        <v>2</v>
      </c>
    </row>
    <row r="612" spans="1:11">
      <c r="A612" s="1">
        <f t="shared" si="9"/>
        <v>611</v>
      </c>
      <c r="B612" s="12">
        <v>40691024</v>
      </c>
      <c r="C612" s="4" t="s">
        <v>845</v>
      </c>
      <c r="D612" s="13" t="s">
        <v>846</v>
      </c>
      <c r="E612" s="14">
        <v>7074129001</v>
      </c>
      <c r="F612" s="4" t="s">
        <v>847</v>
      </c>
      <c r="G612" s="15">
        <v>2032.01</v>
      </c>
      <c r="H612" s="17">
        <v>4</v>
      </c>
      <c r="I612" s="4" t="s">
        <v>14</v>
      </c>
      <c r="J612" s="15">
        <v>8128.04</v>
      </c>
      <c r="K612" s="13">
        <v>4</v>
      </c>
    </row>
    <row r="613" spans="1:11">
      <c r="A613" s="1">
        <f t="shared" si="9"/>
        <v>612</v>
      </c>
      <c r="B613" s="12">
        <v>40694649</v>
      </c>
      <c r="C613" s="4"/>
      <c r="D613" s="13" t="s">
        <v>848</v>
      </c>
      <c r="E613" s="14"/>
      <c r="F613" s="4" t="s">
        <v>849</v>
      </c>
      <c r="G613" s="15">
        <v>390.99</v>
      </c>
      <c r="H613" s="4">
        <v>5</v>
      </c>
      <c r="I613" s="4" t="s">
        <v>14</v>
      </c>
      <c r="J613" s="15">
        <v>1954.95</v>
      </c>
      <c r="K613" s="13">
        <v>5</v>
      </c>
    </row>
    <row r="614" spans="1:11">
      <c r="A614" s="1">
        <f t="shared" si="9"/>
        <v>613</v>
      </c>
      <c r="B614" s="12">
        <v>40694650</v>
      </c>
      <c r="C614" s="4"/>
      <c r="D614" s="13" t="s">
        <v>850</v>
      </c>
      <c r="E614" s="14"/>
      <c r="F614" s="4" t="s">
        <v>851</v>
      </c>
      <c r="G614" s="15">
        <v>371.065</v>
      </c>
      <c r="H614" s="4">
        <v>3</v>
      </c>
      <c r="I614" s="4" t="s">
        <v>14</v>
      </c>
      <c r="J614" s="15">
        <v>1484.26</v>
      </c>
      <c r="K614" s="13">
        <v>3</v>
      </c>
    </row>
    <row r="615" spans="1:11">
      <c r="A615" s="1">
        <f t="shared" si="9"/>
        <v>614</v>
      </c>
      <c r="B615" s="12">
        <v>171002188</v>
      </c>
      <c r="C615" s="4"/>
      <c r="D615" s="13" t="s">
        <v>852</v>
      </c>
      <c r="E615" s="14"/>
      <c r="F615" s="4" t="s">
        <v>853</v>
      </c>
      <c r="G615" s="15">
        <v>10.262972972972999</v>
      </c>
      <c r="H615" s="4">
        <v>37</v>
      </c>
      <c r="I615" s="4" t="s">
        <v>14</v>
      </c>
      <c r="J615" s="15">
        <v>379.73</v>
      </c>
      <c r="K615" s="13">
        <v>37</v>
      </c>
    </row>
    <row r="616" spans="1:11">
      <c r="A616" s="1">
        <f t="shared" si="9"/>
        <v>615</v>
      </c>
      <c r="B616" s="12">
        <v>40002278</v>
      </c>
      <c r="C616" s="4"/>
      <c r="D616" s="13" t="s">
        <v>854</v>
      </c>
      <c r="E616" s="14"/>
      <c r="F616" s="4" t="s">
        <v>855</v>
      </c>
      <c r="G616" s="15">
        <v>5.375</v>
      </c>
      <c r="H616" s="4">
        <v>10</v>
      </c>
      <c r="I616" s="4" t="s">
        <v>14</v>
      </c>
      <c r="J616" s="15">
        <v>53.75</v>
      </c>
      <c r="K616" s="13">
        <v>10</v>
      </c>
    </row>
    <row r="617" spans="1:11">
      <c r="A617" s="1">
        <f t="shared" si="9"/>
        <v>616</v>
      </c>
      <c r="B617" s="12">
        <v>40697091</v>
      </c>
      <c r="C617" s="4" t="s">
        <v>856</v>
      </c>
      <c r="D617" s="13" t="s">
        <v>857</v>
      </c>
      <c r="E617" s="14" t="s">
        <v>858</v>
      </c>
      <c r="F617" s="4" t="s">
        <v>859</v>
      </c>
      <c r="G617" s="15">
        <v>10.44</v>
      </c>
      <c r="H617" s="4">
        <v>20</v>
      </c>
      <c r="I617" s="4" t="s">
        <v>14</v>
      </c>
      <c r="J617" s="15">
        <v>208.8</v>
      </c>
      <c r="K617" s="13">
        <v>20</v>
      </c>
    </row>
    <row r="618" spans="1:11">
      <c r="A618" s="1">
        <f t="shared" si="9"/>
        <v>617</v>
      </c>
      <c r="B618" s="12">
        <v>40694933</v>
      </c>
      <c r="C618" s="4" t="s">
        <v>860</v>
      </c>
      <c r="D618" s="13" t="s">
        <v>861</v>
      </c>
      <c r="E618" s="14" t="s">
        <v>17</v>
      </c>
      <c r="F618" s="4" t="s">
        <v>862</v>
      </c>
      <c r="G618" s="15">
        <v>72.42</v>
      </c>
      <c r="H618" s="4">
        <v>2</v>
      </c>
      <c r="I618" s="4" t="s">
        <v>14</v>
      </c>
      <c r="J618" s="15">
        <v>144.84</v>
      </c>
      <c r="K618" s="13">
        <v>2</v>
      </c>
    </row>
    <row r="619" spans="1:11">
      <c r="A619" s="1">
        <f t="shared" si="9"/>
        <v>618</v>
      </c>
      <c r="B619" s="12">
        <v>40694928</v>
      </c>
      <c r="C619" s="4" t="s">
        <v>863</v>
      </c>
      <c r="D619" s="13" t="s">
        <v>864</v>
      </c>
      <c r="E619" s="14" t="s">
        <v>17</v>
      </c>
      <c r="F619" s="4" t="s">
        <v>865</v>
      </c>
      <c r="G619" s="15">
        <v>14.1</v>
      </c>
      <c r="H619" s="4">
        <v>4</v>
      </c>
      <c r="I619" s="4" t="s">
        <v>14</v>
      </c>
      <c r="J619" s="15">
        <v>56.4</v>
      </c>
      <c r="K619" s="13">
        <v>4</v>
      </c>
    </row>
    <row r="620" spans="1:11">
      <c r="A620" s="1">
        <f t="shared" si="9"/>
        <v>619</v>
      </c>
      <c r="B620" s="12">
        <v>40697081</v>
      </c>
      <c r="C620" s="4" t="s">
        <v>866</v>
      </c>
      <c r="D620" s="13" t="s">
        <v>867</v>
      </c>
      <c r="E620" s="14" t="s">
        <v>868</v>
      </c>
      <c r="F620" s="4" t="s">
        <v>869</v>
      </c>
      <c r="G620" s="15">
        <v>488.28</v>
      </c>
      <c r="H620" s="4">
        <v>1</v>
      </c>
      <c r="I620" s="4" t="s">
        <v>14</v>
      </c>
      <c r="J620" s="15">
        <v>488.28</v>
      </c>
      <c r="K620" s="13">
        <v>1</v>
      </c>
    </row>
    <row r="621" spans="1:11">
      <c r="A621" s="1">
        <f t="shared" si="9"/>
        <v>620</v>
      </c>
      <c r="B621" s="12">
        <v>40704005</v>
      </c>
      <c r="C621" s="4"/>
      <c r="D621" s="13" t="s">
        <v>870</v>
      </c>
      <c r="E621" s="14"/>
      <c r="F621" s="4" t="s">
        <v>871</v>
      </c>
      <c r="G621" s="15">
        <v>1098.69</v>
      </c>
      <c r="H621" s="4">
        <v>2</v>
      </c>
      <c r="I621" s="4" t="s">
        <v>59</v>
      </c>
      <c r="J621" s="15">
        <v>8789.52</v>
      </c>
      <c r="K621" s="13">
        <v>2</v>
      </c>
    </row>
    <row r="622" spans="1:11">
      <c r="A622" s="1">
        <f t="shared" si="9"/>
        <v>621</v>
      </c>
      <c r="B622" s="12">
        <v>40691014</v>
      </c>
      <c r="C622" s="4" t="s">
        <v>671</v>
      </c>
      <c r="D622" s="13" t="s">
        <v>672</v>
      </c>
      <c r="E622" s="14">
        <v>7063002250</v>
      </c>
      <c r="F622" s="4" t="s">
        <v>872</v>
      </c>
      <c r="G622" s="15">
        <v>5668.16</v>
      </c>
      <c r="H622" s="17">
        <v>4</v>
      </c>
      <c r="I622" s="4" t="s">
        <v>14</v>
      </c>
      <c r="J622" s="15">
        <v>22672.639999999999</v>
      </c>
      <c r="K622" s="13">
        <v>4</v>
      </c>
    </row>
    <row r="623" spans="1:11">
      <c r="A623" s="1">
        <f t="shared" si="9"/>
        <v>622</v>
      </c>
      <c r="B623" s="12">
        <v>40697086</v>
      </c>
      <c r="C623" s="4" t="s">
        <v>873</v>
      </c>
      <c r="D623" s="13" t="s">
        <v>874</v>
      </c>
      <c r="E623" s="14" t="s">
        <v>875</v>
      </c>
      <c r="F623" s="4" t="s">
        <v>876</v>
      </c>
      <c r="G623" s="15">
        <v>13.92</v>
      </c>
      <c r="H623" s="4">
        <v>24</v>
      </c>
      <c r="I623" s="4" t="s">
        <v>14</v>
      </c>
      <c r="J623" s="15">
        <v>334.08</v>
      </c>
      <c r="K623" s="13">
        <v>24</v>
      </c>
    </row>
    <row r="624" spans="1:11">
      <c r="A624" s="1">
        <f t="shared" si="9"/>
        <v>623</v>
      </c>
      <c r="B624" s="12">
        <v>40753268</v>
      </c>
      <c r="C624" s="4"/>
      <c r="D624" s="13" t="s">
        <v>877</v>
      </c>
      <c r="E624" s="14"/>
      <c r="F624" s="4" t="s">
        <v>878</v>
      </c>
      <c r="G624" s="15">
        <v>502.84</v>
      </c>
      <c r="H624" s="4">
        <v>58</v>
      </c>
      <c r="I624" s="4" t="s">
        <v>14</v>
      </c>
      <c r="J624" s="15">
        <v>29164.720000000001</v>
      </c>
      <c r="K624" s="13">
        <v>58</v>
      </c>
    </row>
    <row r="625" spans="1:11">
      <c r="A625" s="1">
        <f t="shared" si="9"/>
        <v>624</v>
      </c>
      <c r="B625" s="12">
        <v>40697083</v>
      </c>
      <c r="C625" s="4" t="s">
        <v>879</v>
      </c>
      <c r="D625" s="13" t="s">
        <v>880</v>
      </c>
      <c r="E625" s="14" t="s">
        <v>881</v>
      </c>
      <c r="F625" s="4" t="s">
        <v>882</v>
      </c>
      <c r="G625" s="15">
        <v>71.02</v>
      </c>
      <c r="H625" s="4">
        <v>1</v>
      </c>
      <c r="I625" s="4" t="s">
        <v>14</v>
      </c>
      <c r="J625" s="15">
        <v>71.02</v>
      </c>
      <c r="K625" s="13">
        <v>1</v>
      </c>
    </row>
    <row r="626" spans="1:11">
      <c r="A626" s="1">
        <f t="shared" si="9"/>
        <v>625</v>
      </c>
      <c r="B626" s="12">
        <v>40697084</v>
      </c>
      <c r="C626" s="4" t="s">
        <v>883</v>
      </c>
      <c r="D626" s="13" t="s">
        <v>884</v>
      </c>
      <c r="E626" s="14" t="s">
        <v>885</v>
      </c>
      <c r="F626" s="4" t="s">
        <v>886</v>
      </c>
      <c r="G626" s="15">
        <v>55.67</v>
      </c>
      <c r="H626" s="4">
        <v>1</v>
      </c>
      <c r="I626" s="4" t="s">
        <v>14</v>
      </c>
      <c r="J626" s="15">
        <v>55.67</v>
      </c>
      <c r="K626" s="13">
        <v>1</v>
      </c>
    </row>
    <row r="627" spans="1:11">
      <c r="A627" s="1">
        <f t="shared" si="9"/>
        <v>626</v>
      </c>
      <c r="B627" s="12">
        <v>40697085</v>
      </c>
      <c r="C627" s="4"/>
      <c r="D627" s="13" t="s">
        <v>887</v>
      </c>
      <c r="E627" s="14"/>
      <c r="F627" s="4" t="s">
        <v>886</v>
      </c>
      <c r="G627" s="15">
        <v>71.040000000000006</v>
      </c>
      <c r="H627" s="4">
        <v>1</v>
      </c>
      <c r="I627" s="4" t="s">
        <v>14</v>
      </c>
      <c r="J627" s="15">
        <v>71.040000000000006</v>
      </c>
      <c r="K627" s="13">
        <v>1</v>
      </c>
    </row>
    <row r="628" spans="1:11">
      <c r="A628" s="1">
        <f t="shared" si="9"/>
        <v>627</v>
      </c>
      <c r="B628" s="12">
        <v>40697085</v>
      </c>
      <c r="C628" s="4"/>
      <c r="D628" s="13" t="s">
        <v>887</v>
      </c>
      <c r="E628" s="14"/>
      <c r="F628" s="4" t="s">
        <v>886</v>
      </c>
      <c r="G628" s="4"/>
      <c r="H628" s="4">
        <v>1</v>
      </c>
      <c r="I628" s="4" t="s">
        <v>14</v>
      </c>
      <c r="J628" s="4"/>
      <c r="K628" s="13">
        <v>1</v>
      </c>
    </row>
    <row r="629" spans="1:11">
      <c r="A629" s="1">
        <f t="shared" si="9"/>
        <v>628</v>
      </c>
      <c r="B629" s="12">
        <v>40697079</v>
      </c>
      <c r="C629" s="4" t="s">
        <v>888</v>
      </c>
      <c r="D629" s="13" t="s">
        <v>889</v>
      </c>
      <c r="E629" s="14" t="s">
        <v>890</v>
      </c>
      <c r="F629" s="4" t="s">
        <v>891</v>
      </c>
      <c r="G629" s="15">
        <v>366.61</v>
      </c>
      <c r="H629" s="4">
        <v>1</v>
      </c>
      <c r="I629" s="4" t="s">
        <v>14</v>
      </c>
      <c r="J629" s="15">
        <v>366.61</v>
      </c>
      <c r="K629" s="13">
        <v>1</v>
      </c>
    </row>
    <row r="630" spans="1:11">
      <c r="A630" s="1">
        <f t="shared" si="9"/>
        <v>629</v>
      </c>
      <c r="B630" s="12">
        <v>40693273</v>
      </c>
      <c r="C630" s="4"/>
      <c r="D630" s="13" t="s">
        <v>892</v>
      </c>
      <c r="E630" s="14"/>
      <c r="F630" s="4" t="s">
        <v>893</v>
      </c>
      <c r="G630" s="15">
        <v>1398.8130000000001</v>
      </c>
      <c r="H630" s="4">
        <v>5</v>
      </c>
      <c r="I630" s="4" t="s">
        <v>59</v>
      </c>
      <c r="J630" s="15">
        <v>6994.0649999999996</v>
      </c>
      <c r="K630" s="13">
        <v>5</v>
      </c>
    </row>
    <row r="631" spans="1:11">
      <c r="A631" s="1">
        <f t="shared" si="9"/>
        <v>630</v>
      </c>
      <c r="B631" s="12">
        <v>40697082</v>
      </c>
      <c r="C631" s="4"/>
      <c r="D631" s="13" t="s">
        <v>894</v>
      </c>
      <c r="E631" s="14"/>
      <c r="F631" s="4" t="s">
        <v>895</v>
      </c>
      <c r="G631" s="15">
        <v>64.459999999999994</v>
      </c>
      <c r="H631" s="4">
        <v>1</v>
      </c>
      <c r="I631" s="4" t="s">
        <v>14</v>
      </c>
      <c r="J631" s="15">
        <v>64.459999999999994</v>
      </c>
      <c r="K631" s="13">
        <v>1</v>
      </c>
    </row>
    <row r="632" spans="1:11">
      <c r="A632" s="1">
        <f t="shared" si="9"/>
        <v>631</v>
      </c>
      <c r="B632" s="12">
        <v>40697083</v>
      </c>
      <c r="C632" s="4"/>
      <c r="D632" s="13" t="s">
        <v>880</v>
      </c>
      <c r="E632" s="14"/>
      <c r="F632" s="4" t="s">
        <v>895</v>
      </c>
      <c r="G632" s="15">
        <v>71.02</v>
      </c>
      <c r="H632" s="4">
        <v>1</v>
      </c>
      <c r="I632" s="4" t="s">
        <v>14</v>
      </c>
      <c r="J632" s="15">
        <v>71.02</v>
      </c>
      <c r="K632" s="13">
        <v>1</v>
      </c>
    </row>
    <row r="633" spans="1:11">
      <c r="A633" s="1">
        <f t="shared" si="9"/>
        <v>632</v>
      </c>
      <c r="B633" s="12">
        <v>40635379</v>
      </c>
      <c r="C633" s="4" t="s">
        <v>896</v>
      </c>
      <c r="D633" s="13" t="s">
        <v>897</v>
      </c>
      <c r="E633" s="14" t="s">
        <v>898</v>
      </c>
      <c r="F633" s="4" t="s">
        <v>899</v>
      </c>
      <c r="G633" s="15">
        <v>1749.29</v>
      </c>
      <c r="H633" s="4">
        <v>10</v>
      </c>
      <c r="I633" s="4" t="s">
        <v>14</v>
      </c>
      <c r="J633" s="15">
        <v>17492.900000000001</v>
      </c>
      <c r="K633" s="13">
        <v>9</v>
      </c>
    </row>
    <row r="634" spans="1:11">
      <c r="A634" s="1">
        <f t="shared" si="9"/>
        <v>633</v>
      </c>
      <c r="B634" s="12">
        <v>40637446</v>
      </c>
      <c r="C634" s="4" t="s">
        <v>900</v>
      </c>
      <c r="D634" s="13" t="s">
        <v>901</v>
      </c>
      <c r="E634" s="14" t="s">
        <v>902</v>
      </c>
      <c r="F634" s="4" t="s">
        <v>903</v>
      </c>
      <c r="G634" s="15">
        <v>516.76</v>
      </c>
      <c r="H634" s="4">
        <v>10</v>
      </c>
      <c r="I634" s="4" t="s">
        <v>14</v>
      </c>
      <c r="J634" s="15">
        <v>5167.6000000000004</v>
      </c>
      <c r="K634" s="13">
        <v>10</v>
      </c>
    </row>
    <row r="635" spans="1:11">
      <c r="A635" s="1">
        <f t="shared" si="9"/>
        <v>634</v>
      </c>
      <c r="B635" s="12">
        <v>40704248</v>
      </c>
      <c r="C635" s="4" t="s">
        <v>904</v>
      </c>
      <c r="D635" s="13" t="s">
        <v>905</v>
      </c>
      <c r="E635" s="14" t="s">
        <v>906</v>
      </c>
      <c r="F635" s="4" t="s">
        <v>907</v>
      </c>
      <c r="G635" s="15">
        <v>194.81</v>
      </c>
      <c r="H635" s="4">
        <v>1</v>
      </c>
      <c r="I635" s="4" t="s">
        <v>14</v>
      </c>
      <c r="J635" s="15">
        <v>194.81</v>
      </c>
      <c r="K635" s="13">
        <v>1</v>
      </c>
    </row>
    <row r="636" spans="1:11">
      <c r="A636" s="1">
        <f t="shared" si="9"/>
        <v>635</v>
      </c>
      <c r="B636" s="12">
        <v>40704242</v>
      </c>
      <c r="C636" s="4"/>
      <c r="D636" s="13" t="s">
        <v>908</v>
      </c>
      <c r="E636" s="14"/>
      <c r="F636" s="4" t="s">
        <v>909</v>
      </c>
      <c r="G636" s="15">
        <v>38.83</v>
      </c>
      <c r="H636" s="4">
        <v>8</v>
      </c>
      <c r="I636" s="4" t="s">
        <v>14</v>
      </c>
      <c r="J636" s="15">
        <v>310.64</v>
      </c>
      <c r="K636" s="13">
        <v>8</v>
      </c>
    </row>
    <row r="637" spans="1:11">
      <c r="A637" s="1">
        <f t="shared" si="9"/>
        <v>636</v>
      </c>
      <c r="B637" s="12">
        <v>40704130</v>
      </c>
      <c r="C637" s="4"/>
      <c r="D637" s="13" t="s">
        <v>910</v>
      </c>
      <c r="E637" s="14"/>
      <c r="F637" s="4" t="s">
        <v>911</v>
      </c>
      <c r="G637" s="15">
        <v>1048.47</v>
      </c>
      <c r="H637" s="4">
        <v>5</v>
      </c>
      <c r="I637" s="4" t="s">
        <v>14</v>
      </c>
      <c r="J637" s="15">
        <v>5242.3500000000004</v>
      </c>
      <c r="K637" s="13">
        <v>5</v>
      </c>
    </row>
    <row r="638" spans="1:11">
      <c r="A638" s="1">
        <f t="shared" si="9"/>
        <v>637</v>
      </c>
      <c r="B638" s="12">
        <v>40691036</v>
      </c>
      <c r="C638" s="4" t="s">
        <v>912</v>
      </c>
      <c r="D638" s="13" t="s">
        <v>913</v>
      </c>
      <c r="E638" s="14" t="s">
        <v>914</v>
      </c>
      <c r="F638" s="4" t="s">
        <v>915</v>
      </c>
      <c r="G638" s="15">
        <v>1003.66</v>
      </c>
      <c r="H638" s="17">
        <v>4</v>
      </c>
      <c r="I638" s="4" t="s">
        <v>14</v>
      </c>
      <c r="J638" s="15">
        <v>5018.3</v>
      </c>
      <c r="K638" s="13">
        <v>3</v>
      </c>
    </row>
    <row r="639" spans="1:11">
      <c r="A639" s="1">
        <f t="shared" si="9"/>
        <v>638</v>
      </c>
      <c r="B639" s="12">
        <v>160600534</v>
      </c>
      <c r="C639" s="4"/>
      <c r="D639" s="13"/>
      <c r="E639" s="14"/>
      <c r="F639" s="4" t="s">
        <v>916</v>
      </c>
      <c r="G639" s="15" t="s">
        <v>149</v>
      </c>
      <c r="H639" s="17">
        <v>5</v>
      </c>
      <c r="I639" s="4" t="s">
        <v>14</v>
      </c>
      <c r="J639" s="15"/>
      <c r="K639" s="13">
        <v>5</v>
      </c>
    </row>
    <row r="640" spans="1:11">
      <c r="A640" s="1">
        <f t="shared" si="9"/>
        <v>639</v>
      </c>
      <c r="B640" s="12" t="s">
        <v>917</v>
      </c>
      <c r="C640" s="4"/>
      <c r="D640" s="13"/>
      <c r="E640" s="14"/>
      <c r="F640" s="4" t="s">
        <v>916</v>
      </c>
      <c r="G640" s="4"/>
      <c r="H640" s="4">
        <v>10</v>
      </c>
      <c r="I640" s="4" t="s">
        <v>14</v>
      </c>
      <c r="J640" s="4"/>
      <c r="K640" s="13">
        <v>10</v>
      </c>
    </row>
    <row r="641" spans="1:11">
      <c r="A641" s="1">
        <f t="shared" si="9"/>
        <v>640</v>
      </c>
      <c r="B641" s="12">
        <v>40693277</v>
      </c>
      <c r="C641" s="4"/>
      <c r="D641" s="13" t="s">
        <v>918</v>
      </c>
      <c r="E641" s="14"/>
      <c r="F641" s="4" t="s">
        <v>919</v>
      </c>
      <c r="G641" s="15">
        <v>584.53549999999996</v>
      </c>
      <c r="H641" s="4">
        <v>40</v>
      </c>
      <c r="I641" s="4" t="s">
        <v>14</v>
      </c>
      <c r="J641" s="15">
        <v>23381.42</v>
      </c>
      <c r="K641" s="13">
        <v>40</v>
      </c>
    </row>
    <row r="642" spans="1:11">
      <c r="A642" s="1">
        <f t="shared" ref="A642:A705" si="10">ROW()-1</f>
        <v>641</v>
      </c>
      <c r="B642" s="12">
        <v>40697078</v>
      </c>
      <c r="C642" s="4" t="s">
        <v>888</v>
      </c>
      <c r="D642" s="13" t="s">
        <v>920</v>
      </c>
      <c r="E642" s="14" t="s">
        <v>921</v>
      </c>
      <c r="F642" s="4" t="s">
        <v>922</v>
      </c>
      <c r="G642" s="15">
        <v>352.64</v>
      </c>
      <c r="H642" s="4">
        <v>1</v>
      </c>
      <c r="I642" s="4" t="s">
        <v>14</v>
      </c>
      <c r="J642" s="15">
        <v>352.64</v>
      </c>
      <c r="K642" s="13">
        <v>1</v>
      </c>
    </row>
    <row r="643" spans="1:11">
      <c r="A643" s="1">
        <f t="shared" si="10"/>
        <v>642</v>
      </c>
      <c r="B643" s="12">
        <v>40697087</v>
      </c>
      <c r="C643" s="4" t="s">
        <v>873</v>
      </c>
      <c r="D643" s="13" t="s">
        <v>923</v>
      </c>
      <c r="E643" s="14" t="s">
        <v>924</v>
      </c>
      <c r="F643" s="4" t="s">
        <v>925</v>
      </c>
      <c r="G643" s="15">
        <v>14.47</v>
      </c>
      <c r="H643" s="4">
        <v>39</v>
      </c>
      <c r="I643" s="4" t="s">
        <v>14</v>
      </c>
      <c r="J643" s="15">
        <v>564.33000000000004</v>
      </c>
      <c r="K643" s="13">
        <v>39</v>
      </c>
    </row>
    <row r="644" spans="1:11">
      <c r="A644" s="1">
        <f t="shared" si="10"/>
        <v>643</v>
      </c>
      <c r="B644" s="12">
        <v>40648958</v>
      </c>
      <c r="C644" s="4"/>
      <c r="D644" s="13" t="s">
        <v>926</v>
      </c>
      <c r="E644" s="14"/>
      <c r="F644" s="4" t="s">
        <v>927</v>
      </c>
      <c r="G644" s="15">
        <v>223.01</v>
      </c>
      <c r="H644" s="4">
        <v>4</v>
      </c>
      <c r="I644" s="4" t="s">
        <v>14</v>
      </c>
      <c r="J644" s="15">
        <v>892.04</v>
      </c>
      <c r="K644" s="13">
        <v>4</v>
      </c>
    </row>
    <row r="645" spans="1:11">
      <c r="A645" s="1">
        <f t="shared" si="10"/>
        <v>644</v>
      </c>
      <c r="B645" s="12">
        <v>40741986</v>
      </c>
      <c r="C645" s="4"/>
      <c r="D645" s="13" t="s">
        <v>928</v>
      </c>
      <c r="E645" s="14"/>
      <c r="F645" s="4" t="s">
        <v>929</v>
      </c>
      <c r="G645" s="15">
        <v>124.24</v>
      </c>
      <c r="H645" s="4">
        <v>3</v>
      </c>
      <c r="I645" s="4" t="s">
        <v>14</v>
      </c>
      <c r="J645" s="15">
        <v>372.72</v>
      </c>
      <c r="K645" s="13">
        <v>3</v>
      </c>
    </row>
    <row r="646" spans="1:11">
      <c r="A646" s="1">
        <f t="shared" si="10"/>
        <v>645</v>
      </c>
      <c r="B646" s="12">
        <v>40741987</v>
      </c>
      <c r="C646" s="4"/>
      <c r="D646" s="13" t="s">
        <v>928</v>
      </c>
      <c r="E646" s="14"/>
      <c r="F646" s="4" t="s">
        <v>930</v>
      </c>
      <c r="G646" s="15">
        <v>95.45</v>
      </c>
      <c r="H646" s="4">
        <v>5</v>
      </c>
      <c r="I646" s="4" t="s">
        <v>14</v>
      </c>
      <c r="J646" s="15">
        <v>477.25</v>
      </c>
      <c r="K646" s="13">
        <v>5</v>
      </c>
    </row>
    <row r="647" spans="1:11">
      <c r="A647" s="1">
        <f t="shared" si="10"/>
        <v>646</v>
      </c>
      <c r="B647" s="12" t="s">
        <v>931</v>
      </c>
      <c r="C647" s="4"/>
      <c r="D647" s="13"/>
      <c r="E647" s="14"/>
      <c r="F647" s="4" t="s">
        <v>932</v>
      </c>
      <c r="G647" s="15" t="s">
        <v>149</v>
      </c>
      <c r="H647" s="4">
        <v>7</v>
      </c>
      <c r="I647" s="4" t="s">
        <v>14</v>
      </c>
      <c r="J647" s="15"/>
      <c r="K647" s="13">
        <v>7</v>
      </c>
    </row>
    <row r="648" spans="1:11">
      <c r="A648" s="1">
        <f t="shared" si="10"/>
        <v>647</v>
      </c>
      <c r="B648" s="12">
        <v>40704218</v>
      </c>
      <c r="C648" s="4"/>
      <c r="D648" s="13" t="s">
        <v>933</v>
      </c>
      <c r="E648" s="14"/>
      <c r="F648" s="4" t="s">
        <v>934</v>
      </c>
      <c r="G648" s="15">
        <v>1011.94</v>
      </c>
      <c r="H648" s="4">
        <v>5</v>
      </c>
      <c r="I648" s="4" t="s">
        <v>14</v>
      </c>
      <c r="J648" s="15">
        <v>5059.7</v>
      </c>
      <c r="K648" s="13">
        <v>5</v>
      </c>
    </row>
    <row r="649" spans="1:11">
      <c r="A649" s="1">
        <f t="shared" si="10"/>
        <v>648</v>
      </c>
      <c r="B649" s="12">
        <v>40704103</v>
      </c>
      <c r="C649" s="4"/>
      <c r="D649" s="13" t="s">
        <v>935</v>
      </c>
      <c r="E649" s="14"/>
      <c r="F649" s="4" t="s">
        <v>936</v>
      </c>
      <c r="G649" s="15">
        <v>1383.99</v>
      </c>
      <c r="H649" s="4">
        <v>5</v>
      </c>
      <c r="I649" s="4" t="s">
        <v>14</v>
      </c>
      <c r="J649" s="15">
        <v>71967.48</v>
      </c>
      <c r="K649" s="13">
        <v>5</v>
      </c>
    </row>
    <row r="650" spans="1:11">
      <c r="A650" s="1">
        <f t="shared" si="10"/>
        <v>649</v>
      </c>
      <c r="B650" s="12">
        <v>40704906</v>
      </c>
      <c r="C650" s="4" t="s">
        <v>937</v>
      </c>
      <c r="D650" s="13" t="s">
        <v>938</v>
      </c>
      <c r="E650" s="14" t="s">
        <v>939</v>
      </c>
      <c r="F650" s="4" t="s">
        <v>940</v>
      </c>
      <c r="G650" s="15">
        <v>68.05</v>
      </c>
      <c r="H650" s="4">
        <v>50</v>
      </c>
      <c r="I650" s="4" t="s">
        <v>14</v>
      </c>
      <c r="J650" s="15">
        <v>3402.5</v>
      </c>
      <c r="K650" s="13">
        <v>50</v>
      </c>
    </row>
    <row r="651" spans="1:11">
      <c r="A651" s="1">
        <f t="shared" si="10"/>
        <v>650</v>
      </c>
      <c r="B651" s="12">
        <v>40720580</v>
      </c>
      <c r="C651" s="4"/>
      <c r="D651" s="13" t="s">
        <v>941</v>
      </c>
      <c r="E651" s="14"/>
      <c r="F651" s="4" t="s">
        <v>942</v>
      </c>
      <c r="G651" s="15" t="s">
        <v>149</v>
      </c>
      <c r="H651" s="4">
        <v>4</v>
      </c>
      <c r="I651" s="4" t="s">
        <v>14</v>
      </c>
      <c r="J651" s="15"/>
      <c r="K651" s="13">
        <v>4</v>
      </c>
    </row>
    <row r="652" spans="1:11">
      <c r="A652" s="1">
        <f t="shared" si="10"/>
        <v>651</v>
      </c>
      <c r="B652" s="12">
        <v>40779471</v>
      </c>
      <c r="C652" s="4" t="s">
        <v>943</v>
      </c>
      <c r="D652" s="13" t="s">
        <v>944</v>
      </c>
      <c r="E652" s="14"/>
      <c r="F652" s="4" t="s">
        <v>945</v>
      </c>
      <c r="G652" s="15">
        <v>100</v>
      </c>
      <c r="H652" s="4">
        <v>30</v>
      </c>
      <c r="I652" s="4" t="s">
        <v>14</v>
      </c>
      <c r="J652" s="15">
        <v>3000</v>
      </c>
      <c r="K652" s="13">
        <v>30</v>
      </c>
    </row>
    <row r="653" spans="1:11">
      <c r="A653" s="1">
        <f t="shared" si="10"/>
        <v>652</v>
      </c>
      <c r="B653" s="12">
        <v>40642282</v>
      </c>
      <c r="C653" s="4"/>
      <c r="D653" s="13" t="s">
        <v>946</v>
      </c>
      <c r="E653" s="14"/>
      <c r="F653" s="4" t="s">
        <v>947</v>
      </c>
      <c r="G653" s="15">
        <v>363.3</v>
      </c>
      <c r="H653" s="4">
        <v>2</v>
      </c>
      <c r="I653" s="4" t="s">
        <v>14</v>
      </c>
      <c r="J653" s="15">
        <v>726.6</v>
      </c>
      <c r="K653" s="13">
        <v>2</v>
      </c>
    </row>
    <row r="654" spans="1:11">
      <c r="A654" s="1">
        <f t="shared" si="10"/>
        <v>653</v>
      </c>
      <c r="B654" s="12">
        <v>40704224</v>
      </c>
      <c r="C654" s="4"/>
      <c r="D654" s="13" t="s">
        <v>948</v>
      </c>
      <c r="E654" s="14"/>
      <c r="F654" s="4" t="s">
        <v>949</v>
      </c>
      <c r="G654" s="15">
        <v>1105.22</v>
      </c>
      <c r="H654" s="4">
        <v>5</v>
      </c>
      <c r="I654" s="4" t="s">
        <v>14</v>
      </c>
      <c r="J654" s="15">
        <v>5526.1</v>
      </c>
      <c r="K654" s="13">
        <v>5</v>
      </c>
    </row>
    <row r="655" spans="1:11">
      <c r="A655" s="1">
        <f t="shared" si="10"/>
        <v>654</v>
      </c>
      <c r="B655" s="12">
        <v>40704212</v>
      </c>
      <c r="C655" s="4"/>
      <c r="D655" s="13" t="s">
        <v>950</v>
      </c>
      <c r="E655" s="14"/>
      <c r="F655" s="4" t="s">
        <v>951</v>
      </c>
      <c r="G655" s="15">
        <v>1268.04</v>
      </c>
      <c r="H655" s="4">
        <v>5</v>
      </c>
      <c r="I655" s="4" t="s">
        <v>14</v>
      </c>
      <c r="J655" s="15">
        <v>6340.2</v>
      </c>
      <c r="K655" s="13">
        <v>5</v>
      </c>
    </row>
    <row r="656" spans="1:11">
      <c r="A656" s="1">
        <f t="shared" si="10"/>
        <v>655</v>
      </c>
      <c r="B656" s="12">
        <v>342910357</v>
      </c>
      <c r="C656" s="4"/>
      <c r="D656" s="13" t="s">
        <v>952</v>
      </c>
      <c r="E656" s="14"/>
      <c r="F656" s="4" t="s">
        <v>953</v>
      </c>
      <c r="G656" s="15">
        <v>22.91</v>
      </c>
      <c r="H656" s="4">
        <v>4</v>
      </c>
      <c r="I656" s="4" t="s">
        <v>59</v>
      </c>
      <c r="J656" s="15">
        <v>91.64</v>
      </c>
      <c r="K656" s="13">
        <v>4</v>
      </c>
    </row>
    <row r="657" spans="1:11">
      <c r="A657" s="1">
        <f t="shared" si="10"/>
        <v>656</v>
      </c>
      <c r="B657" s="12">
        <v>342910333</v>
      </c>
      <c r="C657" s="4"/>
      <c r="D657" s="13" t="s">
        <v>954</v>
      </c>
      <c r="E657" s="14"/>
      <c r="F657" s="4" t="s">
        <v>955</v>
      </c>
      <c r="G657" s="15">
        <v>50.5</v>
      </c>
      <c r="H657" s="4">
        <v>4</v>
      </c>
      <c r="I657" s="4" t="s">
        <v>14</v>
      </c>
      <c r="J657" s="15">
        <v>202</v>
      </c>
      <c r="K657" s="13">
        <v>4</v>
      </c>
    </row>
    <row r="658" spans="1:11">
      <c r="A658" s="1">
        <f t="shared" si="10"/>
        <v>657</v>
      </c>
      <c r="B658" s="12" t="s">
        <v>956</v>
      </c>
      <c r="C658" s="4"/>
      <c r="D658" s="13" t="s">
        <v>957</v>
      </c>
      <c r="E658" s="14"/>
      <c r="F658" s="4" t="s">
        <v>958</v>
      </c>
      <c r="G658" s="15" t="s">
        <v>149</v>
      </c>
      <c r="H658" s="21" t="s">
        <v>959</v>
      </c>
      <c r="I658" s="4" t="s">
        <v>14</v>
      </c>
      <c r="J658" s="15"/>
      <c r="K658" s="21" t="s">
        <v>959</v>
      </c>
    </row>
    <row r="659" spans="1:11">
      <c r="A659" s="1">
        <f t="shared" si="10"/>
        <v>658</v>
      </c>
      <c r="B659" s="12" t="s">
        <v>960</v>
      </c>
      <c r="C659" s="4"/>
      <c r="D659" s="13"/>
      <c r="E659" s="14"/>
      <c r="F659" s="4" t="s">
        <v>961</v>
      </c>
      <c r="G659" s="4"/>
      <c r="H659" s="4">
        <v>3</v>
      </c>
      <c r="I659" s="4" t="s">
        <v>14</v>
      </c>
      <c r="J659" s="4"/>
      <c r="K659" s="13">
        <v>3</v>
      </c>
    </row>
    <row r="660" spans="1:11">
      <c r="A660" s="1">
        <f t="shared" si="10"/>
        <v>659</v>
      </c>
      <c r="B660" s="12" t="s">
        <v>962</v>
      </c>
      <c r="C660" s="4"/>
      <c r="D660" s="13"/>
      <c r="E660" s="14"/>
      <c r="F660" s="4" t="s">
        <v>961</v>
      </c>
      <c r="G660" s="4"/>
      <c r="H660" s="4">
        <v>2</v>
      </c>
      <c r="I660" s="4" t="s">
        <v>14</v>
      </c>
      <c r="J660" s="4"/>
      <c r="K660" s="13">
        <v>2</v>
      </c>
    </row>
    <row r="661" spans="1:11">
      <c r="A661" s="1">
        <f t="shared" si="10"/>
        <v>660</v>
      </c>
      <c r="B661" s="12">
        <v>40697155</v>
      </c>
      <c r="C661" s="4" t="s">
        <v>963</v>
      </c>
      <c r="D661" s="13" t="s">
        <v>964</v>
      </c>
      <c r="E661" s="14" t="s">
        <v>965</v>
      </c>
      <c r="F661" s="4" t="s">
        <v>966</v>
      </c>
      <c r="G661" s="15">
        <v>91.34</v>
      </c>
      <c r="H661" s="4">
        <v>4</v>
      </c>
      <c r="I661" s="4" t="s">
        <v>14</v>
      </c>
      <c r="J661" s="15">
        <v>365.36</v>
      </c>
      <c r="K661" s="13">
        <v>4</v>
      </c>
    </row>
    <row r="662" spans="1:11">
      <c r="A662" s="1">
        <f t="shared" si="10"/>
        <v>661</v>
      </c>
      <c r="B662" s="12">
        <v>40630981</v>
      </c>
      <c r="C662" s="4"/>
      <c r="D662" s="13" t="s">
        <v>967</v>
      </c>
      <c r="E662" s="14"/>
      <c r="F662" s="4" t="s">
        <v>968</v>
      </c>
      <c r="G662" s="15">
        <v>492.92</v>
      </c>
      <c r="H662" s="4">
        <v>2</v>
      </c>
      <c r="I662" s="4" t="s">
        <v>14</v>
      </c>
      <c r="J662" s="15">
        <v>985.84</v>
      </c>
      <c r="K662" s="13">
        <v>2</v>
      </c>
    </row>
    <row r="663" spans="1:11">
      <c r="A663" s="1">
        <f t="shared" si="10"/>
        <v>662</v>
      </c>
      <c r="B663" s="12">
        <v>40635369</v>
      </c>
      <c r="C663" s="4" t="s">
        <v>969</v>
      </c>
      <c r="D663" s="13" t="s">
        <v>970</v>
      </c>
      <c r="E663" s="14" t="s">
        <v>971</v>
      </c>
      <c r="F663" s="4" t="s">
        <v>972</v>
      </c>
      <c r="G663" s="15">
        <v>932.16</v>
      </c>
      <c r="H663" s="4">
        <v>1</v>
      </c>
      <c r="I663" s="4" t="s">
        <v>14</v>
      </c>
      <c r="J663" s="15">
        <v>932.16</v>
      </c>
      <c r="K663" s="13">
        <v>1</v>
      </c>
    </row>
    <row r="664" spans="1:11">
      <c r="A664" s="1">
        <f t="shared" si="10"/>
        <v>663</v>
      </c>
      <c r="B664" s="12">
        <v>40627491</v>
      </c>
      <c r="C664" s="4"/>
      <c r="D664" s="13" t="s">
        <v>973</v>
      </c>
      <c r="E664" s="14"/>
      <c r="F664" s="4" t="s">
        <v>974</v>
      </c>
      <c r="G664" s="15">
        <v>54.51</v>
      </c>
      <c r="H664" s="4">
        <v>10</v>
      </c>
      <c r="I664" s="4" t="s">
        <v>14</v>
      </c>
      <c r="J664" s="15">
        <v>545.1</v>
      </c>
      <c r="K664" s="13">
        <v>10</v>
      </c>
    </row>
    <row r="665" spans="1:11">
      <c r="A665" s="1">
        <f t="shared" si="10"/>
        <v>664</v>
      </c>
      <c r="B665" s="12">
        <v>40704122</v>
      </c>
      <c r="C665" s="4"/>
      <c r="D665" s="13" t="s">
        <v>975</v>
      </c>
      <c r="E665" s="14"/>
      <c r="F665" s="4" t="s">
        <v>976</v>
      </c>
      <c r="G665" s="15">
        <v>1132.3499999999999</v>
      </c>
      <c r="H665" s="4">
        <v>5</v>
      </c>
      <c r="I665" s="4" t="s">
        <v>14</v>
      </c>
      <c r="J665" s="15">
        <v>3397.05</v>
      </c>
      <c r="K665" s="13">
        <v>5</v>
      </c>
    </row>
    <row r="666" spans="1:11">
      <c r="A666" s="1">
        <f t="shared" si="10"/>
        <v>665</v>
      </c>
      <c r="B666" s="12">
        <v>40647009</v>
      </c>
      <c r="C666" s="4"/>
      <c r="D666" s="13" t="s">
        <v>977</v>
      </c>
      <c r="E666" s="14"/>
      <c r="F666" s="4" t="s">
        <v>978</v>
      </c>
      <c r="G666" s="15">
        <v>54.02</v>
      </c>
      <c r="H666" s="4">
        <v>26</v>
      </c>
      <c r="I666" s="4" t="s">
        <v>14</v>
      </c>
      <c r="J666" s="15">
        <v>1404.52</v>
      </c>
      <c r="K666" s="13">
        <v>26</v>
      </c>
    </row>
    <row r="667" spans="1:11">
      <c r="A667" s="1">
        <f t="shared" si="10"/>
        <v>666</v>
      </c>
      <c r="B667" s="12">
        <v>160601493</v>
      </c>
      <c r="C667" s="4"/>
      <c r="D667" s="13" t="s">
        <v>979</v>
      </c>
      <c r="E667" s="14"/>
      <c r="F667" s="4" t="s">
        <v>980</v>
      </c>
      <c r="G667" s="15">
        <v>365.06</v>
      </c>
      <c r="H667" s="4">
        <v>2</v>
      </c>
      <c r="I667" s="4" t="s">
        <v>14</v>
      </c>
      <c r="J667" s="15">
        <v>730.12</v>
      </c>
      <c r="K667" s="13">
        <v>2</v>
      </c>
    </row>
    <row r="668" spans="1:11">
      <c r="A668" s="1">
        <f t="shared" si="10"/>
        <v>667</v>
      </c>
      <c r="B668" s="12">
        <v>160601526</v>
      </c>
      <c r="C668" s="4"/>
      <c r="D668" s="13" t="s">
        <v>981</v>
      </c>
      <c r="E668" s="14"/>
      <c r="F668" s="4" t="s">
        <v>980</v>
      </c>
      <c r="G668" s="15">
        <v>6.86</v>
      </c>
      <c r="H668" s="4">
        <v>6</v>
      </c>
      <c r="I668" s="4" t="s">
        <v>14</v>
      </c>
      <c r="J668" s="15">
        <v>41.16</v>
      </c>
      <c r="K668" s="13">
        <v>6</v>
      </c>
    </row>
    <row r="669" spans="1:11">
      <c r="A669" s="1">
        <f t="shared" si="10"/>
        <v>668</v>
      </c>
      <c r="B669" s="12">
        <v>160601521</v>
      </c>
      <c r="C669" s="4"/>
      <c r="D669" s="13" t="s">
        <v>982</v>
      </c>
      <c r="E669" s="14"/>
      <c r="F669" s="4" t="s">
        <v>983</v>
      </c>
      <c r="G669" s="4"/>
      <c r="H669" s="4">
        <v>4</v>
      </c>
      <c r="I669" s="4" t="s">
        <v>14</v>
      </c>
      <c r="J669" s="4"/>
      <c r="K669" s="13">
        <v>4</v>
      </c>
    </row>
    <row r="670" spans="1:11">
      <c r="A670" s="1">
        <f t="shared" si="10"/>
        <v>669</v>
      </c>
      <c r="B670" s="12">
        <v>160600501</v>
      </c>
      <c r="C670" s="4"/>
      <c r="D670" s="13" t="s">
        <v>984</v>
      </c>
      <c r="E670" s="14"/>
      <c r="F670" s="4" t="s">
        <v>983</v>
      </c>
      <c r="G670" s="4"/>
      <c r="H670" s="4">
        <v>2</v>
      </c>
      <c r="I670" s="4" t="s">
        <v>59</v>
      </c>
      <c r="J670" s="4"/>
      <c r="K670" s="13">
        <v>2</v>
      </c>
    </row>
    <row r="671" spans="1:11">
      <c r="A671" s="1">
        <f t="shared" si="10"/>
        <v>670</v>
      </c>
      <c r="B671" s="12">
        <v>160601370</v>
      </c>
      <c r="C671" s="4"/>
      <c r="D671" s="13" t="s">
        <v>985</v>
      </c>
      <c r="E671" s="14"/>
      <c r="F671" s="4" t="s">
        <v>986</v>
      </c>
      <c r="G671" s="4"/>
      <c r="H671" s="4">
        <v>2</v>
      </c>
      <c r="I671" s="4" t="s">
        <v>14</v>
      </c>
      <c r="J671" s="4"/>
      <c r="K671" s="13">
        <v>2</v>
      </c>
    </row>
    <row r="672" spans="1:11">
      <c r="A672" s="1">
        <f t="shared" si="10"/>
        <v>671</v>
      </c>
      <c r="B672" s="12">
        <v>160601508</v>
      </c>
      <c r="C672" s="4"/>
      <c r="D672" s="13" t="s">
        <v>987</v>
      </c>
      <c r="E672" s="14"/>
      <c r="F672" s="4" t="s">
        <v>986</v>
      </c>
      <c r="G672" s="4"/>
      <c r="H672" s="4">
        <v>4</v>
      </c>
      <c r="I672" s="4" t="s">
        <v>59</v>
      </c>
      <c r="J672" s="4"/>
      <c r="K672" s="13">
        <v>4</v>
      </c>
    </row>
    <row r="673" spans="1:11">
      <c r="A673" s="1">
        <f t="shared" si="10"/>
        <v>672</v>
      </c>
      <c r="B673" s="12">
        <v>160601444</v>
      </c>
      <c r="C673" s="4"/>
      <c r="D673" s="13" t="s">
        <v>988</v>
      </c>
      <c r="E673" s="14"/>
      <c r="F673" s="4" t="s">
        <v>989</v>
      </c>
      <c r="G673" s="4"/>
      <c r="H673" s="4">
        <v>4</v>
      </c>
      <c r="I673" s="4" t="s">
        <v>59</v>
      </c>
      <c r="J673" s="4"/>
      <c r="K673" s="13">
        <v>4</v>
      </c>
    </row>
    <row r="674" spans="1:11">
      <c r="A674" s="1">
        <f t="shared" si="10"/>
        <v>673</v>
      </c>
      <c r="B674" s="12">
        <v>40642279</v>
      </c>
      <c r="C674" s="4"/>
      <c r="D674" s="13" t="s">
        <v>990</v>
      </c>
      <c r="E674" s="14"/>
      <c r="F674" s="4" t="s">
        <v>991</v>
      </c>
      <c r="G674" s="15">
        <v>235</v>
      </c>
      <c r="H674" s="4">
        <v>9</v>
      </c>
      <c r="I674" s="4" t="s">
        <v>14</v>
      </c>
      <c r="J674" s="15">
        <v>2115</v>
      </c>
      <c r="K674" s="13">
        <v>9</v>
      </c>
    </row>
    <row r="675" spans="1:11">
      <c r="A675" s="1">
        <f t="shared" si="10"/>
        <v>674</v>
      </c>
      <c r="B675" s="12">
        <v>40637445</v>
      </c>
      <c r="C675" s="4" t="s">
        <v>992</v>
      </c>
      <c r="D675" s="13" t="s">
        <v>993</v>
      </c>
      <c r="E675" s="14" t="s">
        <v>994</v>
      </c>
      <c r="F675" s="4" t="s">
        <v>995</v>
      </c>
      <c r="G675" s="15">
        <v>9447.25</v>
      </c>
      <c r="H675" s="4">
        <v>4</v>
      </c>
      <c r="I675" s="4" t="s">
        <v>14</v>
      </c>
      <c r="J675" s="15">
        <v>37789</v>
      </c>
      <c r="K675" s="13">
        <v>4</v>
      </c>
    </row>
    <row r="676" spans="1:11">
      <c r="A676" s="1">
        <f t="shared" si="10"/>
        <v>675</v>
      </c>
      <c r="B676" s="12">
        <v>40691384</v>
      </c>
      <c r="C676" s="4" t="s">
        <v>996</v>
      </c>
      <c r="D676" s="13" t="s">
        <v>997</v>
      </c>
      <c r="E676" s="14" t="s">
        <v>998</v>
      </c>
      <c r="F676" s="4" t="s">
        <v>999</v>
      </c>
      <c r="G676" s="15">
        <v>847.98</v>
      </c>
      <c r="H676" s="4">
        <v>36</v>
      </c>
      <c r="I676" s="4" t="s">
        <v>14</v>
      </c>
      <c r="J676" s="15">
        <v>30527.279999999999</v>
      </c>
      <c r="K676" s="13">
        <v>36</v>
      </c>
    </row>
    <row r="677" spans="1:11">
      <c r="A677" s="1">
        <f t="shared" si="10"/>
        <v>676</v>
      </c>
      <c r="B677" s="12">
        <v>40691385</v>
      </c>
      <c r="C677" s="4" t="s">
        <v>1000</v>
      </c>
      <c r="D677" s="13" t="s">
        <v>997</v>
      </c>
      <c r="E677" s="14" t="s">
        <v>1001</v>
      </c>
      <c r="F677" s="4" t="s">
        <v>1002</v>
      </c>
      <c r="G677" s="15">
        <v>768.97</v>
      </c>
      <c r="H677" s="4">
        <v>40</v>
      </c>
      <c r="I677" s="4" t="s">
        <v>14</v>
      </c>
      <c r="J677" s="15">
        <v>30758.799999999999</v>
      </c>
      <c r="K677" s="13">
        <v>40</v>
      </c>
    </row>
    <row r="678" spans="1:11">
      <c r="A678" s="1">
        <f t="shared" si="10"/>
        <v>677</v>
      </c>
      <c r="B678" s="12">
        <v>40722360</v>
      </c>
      <c r="C678" s="4"/>
      <c r="D678" s="13" t="s">
        <v>1003</v>
      </c>
      <c r="E678" s="14"/>
      <c r="F678" s="4" t="s">
        <v>1004</v>
      </c>
      <c r="G678" s="15"/>
      <c r="H678" s="4">
        <v>12</v>
      </c>
      <c r="I678" s="4" t="s">
        <v>14</v>
      </c>
      <c r="J678" s="27"/>
      <c r="K678" s="13">
        <v>12</v>
      </c>
    </row>
    <row r="679" spans="1:11">
      <c r="A679" s="1">
        <f t="shared" si="10"/>
        <v>678</v>
      </c>
      <c r="B679" s="12">
        <v>40631020</v>
      </c>
      <c r="C679" s="4"/>
      <c r="D679" s="13" t="s">
        <v>1005</v>
      </c>
      <c r="E679" s="14"/>
      <c r="F679" s="4" t="s">
        <v>1006</v>
      </c>
      <c r="G679" s="15" t="s">
        <v>149</v>
      </c>
      <c r="H679" s="4">
        <v>2</v>
      </c>
      <c r="I679" s="4" t="s">
        <v>14</v>
      </c>
      <c r="J679" s="15"/>
      <c r="K679" s="13">
        <v>2</v>
      </c>
    </row>
    <row r="680" spans="1:11">
      <c r="A680" s="1">
        <f t="shared" si="10"/>
        <v>679</v>
      </c>
      <c r="B680" s="12">
        <v>40697098</v>
      </c>
      <c r="C680" s="4" t="s">
        <v>1007</v>
      </c>
      <c r="D680" s="13" t="s">
        <v>1008</v>
      </c>
      <c r="E680" s="14" t="s">
        <v>1009</v>
      </c>
      <c r="F680" s="4" t="s">
        <v>1010</v>
      </c>
      <c r="G680" s="15">
        <v>6.94</v>
      </c>
      <c r="H680" s="4">
        <v>16</v>
      </c>
      <c r="I680" s="4" t="s">
        <v>14</v>
      </c>
      <c r="J680" s="15">
        <v>111.04</v>
      </c>
      <c r="K680" s="13">
        <v>16</v>
      </c>
    </row>
    <row r="681" spans="1:11">
      <c r="A681" s="1">
        <f t="shared" si="10"/>
        <v>680</v>
      </c>
      <c r="B681" s="12">
        <v>40637447</v>
      </c>
      <c r="C681" s="4"/>
      <c r="D681" s="13" t="s">
        <v>1011</v>
      </c>
      <c r="E681" s="14"/>
      <c r="F681" s="4" t="s">
        <v>1010</v>
      </c>
      <c r="G681" s="15">
        <v>16.195071428571399</v>
      </c>
      <c r="H681" s="4">
        <v>140</v>
      </c>
      <c r="I681" s="4" t="s">
        <v>14</v>
      </c>
      <c r="J681" s="15">
        <v>2267.31</v>
      </c>
      <c r="K681" s="13">
        <v>140</v>
      </c>
    </row>
    <row r="682" spans="1:11">
      <c r="A682" s="1">
        <f t="shared" si="10"/>
        <v>681</v>
      </c>
      <c r="B682" s="12">
        <v>40704113</v>
      </c>
      <c r="C682" s="4"/>
      <c r="D682" s="13" t="s">
        <v>1012</v>
      </c>
      <c r="E682" s="14"/>
      <c r="F682" s="4" t="s">
        <v>1013</v>
      </c>
      <c r="G682" s="15">
        <v>900.45</v>
      </c>
      <c r="H682" s="4">
        <v>5</v>
      </c>
      <c r="I682" s="4" t="s">
        <v>14</v>
      </c>
      <c r="J682" s="15">
        <v>4502.25</v>
      </c>
      <c r="K682" s="13">
        <v>5</v>
      </c>
    </row>
    <row r="683" spans="1:11">
      <c r="A683" s="1">
        <f t="shared" si="10"/>
        <v>682</v>
      </c>
      <c r="B683" s="12">
        <v>40766685</v>
      </c>
      <c r="C683" s="4" t="s">
        <v>1014</v>
      </c>
      <c r="D683" s="13" t="s">
        <v>1015</v>
      </c>
      <c r="E683" s="14" t="s">
        <v>373</v>
      </c>
      <c r="F683" s="4" t="s">
        <v>1016</v>
      </c>
      <c r="G683" s="15">
        <v>45.09</v>
      </c>
      <c r="H683" s="4">
        <v>5</v>
      </c>
      <c r="I683" s="4" t="s">
        <v>14</v>
      </c>
      <c r="J683" s="15">
        <v>225.45</v>
      </c>
      <c r="K683" s="13">
        <v>5</v>
      </c>
    </row>
    <row r="684" spans="1:11">
      <c r="A684" s="1">
        <f t="shared" si="10"/>
        <v>683</v>
      </c>
      <c r="B684" s="12">
        <v>160601510</v>
      </c>
      <c r="C684" s="4"/>
      <c r="D684" s="13" t="s">
        <v>1017</v>
      </c>
      <c r="E684" s="14"/>
      <c r="F684" s="4" t="s">
        <v>1018</v>
      </c>
      <c r="G684" s="4"/>
      <c r="H684" s="4">
        <v>2</v>
      </c>
      <c r="I684" s="4" t="s">
        <v>59</v>
      </c>
      <c r="J684" s="4"/>
      <c r="K684" s="13">
        <v>2</v>
      </c>
    </row>
    <row r="685" spans="1:11">
      <c r="A685" s="1">
        <f t="shared" si="10"/>
        <v>684</v>
      </c>
      <c r="B685" s="12">
        <v>160601114</v>
      </c>
      <c r="C685" s="4"/>
      <c r="D685" s="13" t="s">
        <v>1019</v>
      </c>
      <c r="E685" s="14"/>
      <c r="F685" s="4" t="s">
        <v>1018</v>
      </c>
      <c r="G685" s="4"/>
      <c r="H685" s="4">
        <v>4</v>
      </c>
      <c r="I685" s="4" t="s">
        <v>59</v>
      </c>
      <c r="J685" s="4"/>
      <c r="K685" s="13">
        <v>4</v>
      </c>
    </row>
    <row r="686" spans="1:11">
      <c r="A686" s="1">
        <f t="shared" si="10"/>
        <v>685</v>
      </c>
      <c r="B686" s="12" t="s">
        <v>1020</v>
      </c>
      <c r="C686" s="4"/>
      <c r="D686" s="13" t="s">
        <v>1021</v>
      </c>
      <c r="E686" s="14"/>
      <c r="F686" s="4" t="s">
        <v>1022</v>
      </c>
      <c r="G686" s="4"/>
      <c r="H686" s="4">
        <v>10</v>
      </c>
      <c r="I686" s="4" t="s">
        <v>14</v>
      </c>
      <c r="J686" s="4"/>
      <c r="K686" s="13">
        <v>10</v>
      </c>
    </row>
    <row r="687" spans="1:11">
      <c r="A687" s="1">
        <f t="shared" si="10"/>
        <v>686</v>
      </c>
      <c r="B687" s="12">
        <v>160601367</v>
      </c>
      <c r="C687" s="4"/>
      <c r="D687" s="13" t="s">
        <v>1023</v>
      </c>
      <c r="E687" s="14"/>
      <c r="F687" s="4" t="s">
        <v>1024</v>
      </c>
      <c r="G687" s="4"/>
      <c r="H687" s="4">
        <v>16</v>
      </c>
      <c r="I687" s="4" t="s">
        <v>14</v>
      </c>
      <c r="J687" s="4"/>
      <c r="K687" s="13">
        <v>16</v>
      </c>
    </row>
    <row r="688" spans="1:11">
      <c r="A688" s="1">
        <f t="shared" si="10"/>
        <v>687</v>
      </c>
      <c r="B688" s="12">
        <v>160601494</v>
      </c>
      <c r="C688" s="4"/>
      <c r="D688" s="13" t="s">
        <v>1025</v>
      </c>
      <c r="E688" s="14"/>
      <c r="F688" s="4" t="s">
        <v>1024</v>
      </c>
      <c r="G688" s="4"/>
      <c r="H688" s="4">
        <v>10</v>
      </c>
      <c r="I688" s="4" t="s">
        <v>59</v>
      </c>
      <c r="J688" s="4"/>
      <c r="K688" s="13">
        <v>10</v>
      </c>
    </row>
    <row r="689" spans="1:198">
      <c r="A689" s="1">
        <f t="shared" si="10"/>
        <v>688</v>
      </c>
      <c r="B689" s="12">
        <v>160601506</v>
      </c>
      <c r="C689" s="4"/>
      <c r="D689" s="13" t="s">
        <v>1026</v>
      </c>
      <c r="E689" s="14"/>
      <c r="F689" s="4" t="s">
        <v>1027</v>
      </c>
      <c r="G689" s="4"/>
      <c r="H689" s="4">
        <v>3</v>
      </c>
      <c r="I689" s="4" t="s">
        <v>59</v>
      </c>
      <c r="J689" s="4"/>
      <c r="K689" s="13">
        <v>3</v>
      </c>
    </row>
    <row r="690" spans="1:198">
      <c r="A690" s="1">
        <f t="shared" si="10"/>
        <v>689</v>
      </c>
      <c r="B690" s="12">
        <v>160601365</v>
      </c>
      <c r="C690" s="4"/>
      <c r="D690" s="13" t="s">
        <v>1028</v>
      </c>
      <c r="E690" s="14"/>
      <c r="F690" s="4" t="s">
        <v>1027</v>
      </c>
      <c r="G690" s="4"/>
      <c r="H690" s="4">
        <v>10</v>
      </c>
      <c r="I690" s="4" t="s">
        <v>14</v>
      </c>
      <c r="J690" s="4"/>
      <c r="K690" s="13">
        <v>10</v>
      </c>
    </row>
    <row r="691" spans="1:198">
      <c r="A691" s="1">
        <f t="shared" si="10"/>
        <v>690</v>
      </c>
      <c r="B691" s="12">
        <v>160601429</v>
      </c>
      <c r="C691" s="4"/>
      <c r="D691" s="13" t="s">
        <v>1029</v>
      </c>
      <c r="E691" s="14"/>
      <c r="F691" s="4" t="s">
        <v>1030</v>
      </c>
      <c r="G691" s="15">
        <v>339.61</v>
      </c>
      <c r="H691" s="4">
        <v>6</v>
      </c>
      <c r="I691" s="4" t="s">
        <v>14</v>
      </c>
      <c r="J691" s="15">
        <v>2037.66</v>
      </c>
      <c r="K691" s="13">
        <v>6</v>
      </c>
    </row>
    <row r="692" spans="1:198">
      <c r="A692" s="1">
        <f t="shared" si="10"/>
        <v>691</v>
      </c>
      <c r="B692" s="23" t="s">
        <v>1033</v>
      </c>
      <c r="C692" s="24"/>
      <c r="D692" s="25" t="s">
        <v>1031</v>
      </c>
      <c r="E692" s="26"/>
      <c r="F692" s="24" t="s">
        <v>1032</v>
      </c>
      <c r="G692" s="15" t="s">
        <v>149</v>
      </c>
      <c r="H692" s="24">
        <v>1000</v>
      </c>
      <c r="I692" s="24" t="s">
        <v>14</v>
      </c>
      <c r="J692" s="15"/>
      <c r="K692" s="25">
        <v>1000</v>
      </c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  <c r="BV692" s="22"/>
      <c r="BW692" s="22"/>
      <c r="BX692" s="22"/>
      <c r="BY692" s="22"/>
      <c r="BZ692" s="22"/>
      <c r="CA692" s="22"/>
      <c r="CB692" s="22"/>
      <c r="CC692" s="22"/>
      <c r="CD692" s="22"/>
      <c r="CE692" s="22"/>
      <c r="CF692" s="22"/>
      <c r="CG692" s="22"/>
      <c r="CH692" s="22"/>
      <c r="CI692" s="22"/>
      <c r="CJ692" s="22"/>
      <c r="CK692" s="22"/>
      <c r="CL692" s="22"/>
      <c r="CM692" s="22"/>
      <c r="CN692" s="22"/>
      <c r="CO692" s="22"/>
      <c r="CP692" s="22"/>
      <c r="CQ692" s="22"/>
      <c r="CR692" s="22"/>
      <c r="CS692" s="22"/>
      <c r="CT692" s="22"/>
      <c r="CU692" s="22"/>
      <c r="CV692" s="22"/>
      <c r="CW692" s="22"/>
      <c r="CX692" s="22"/>
      <c r="CY692" s="22"/>
      <c r="CZ692" s="22"/>
      <c r="DA692" s="22"/>
      <c r="DB692" s="22"/>
      <c r="DC692" s="22"/>
      <c r="DD692" s="22"/>
      <c r="DE692" s="22"/>
      <c r="DF692" s="22"/>
      <c r="DG692" s="22"/>
      <c r="DH692" s="22"/>
      <c r="DI692" s="22"/>
      <c r="DJ692" s="22"/>
      <c r="DK692" s="22"/>
      <c r="DL692" s="22"/>
      <c r="DM692" s="22"/>
      <c r="DN692" s="22"/>
      <c r="DO692" s="22"/>
      <c r="DP692" s="22"/>
      <c r="DQ692" s="22"/>
      <c r="DR692" s="22"/>
      <c r="DS692" s="22"/>
      <c r="DT692" s="22"/>
      <c r="DU692" s="22"/>
      <c r="DV692" s="22"/>
      <c r="DW692" s="22"/>
      <c r="DX692" s="22"/>
      <c r="DY692" s="22"/>
      <c r="DZ692" s="22"/>
      <c r="EA692" s="22"/>
      <c r="EB692" s="22"/>
      <c r="EC692" s="22"/>
      <c r="ED692" s="22"/>
      <c r="EE692" s="22"/>
      <c r="EF692" s="22"/>
      <c r="EG692" s="22"/>
      <c r="EH692" s="22"/>
      <c r="EI692" s="22"/>
      <c r="EJ692" s="22"/>
      <c r="EK692" s="22"/>
      <c r="EL692" s="22"/>
      <c r="EM692" s="22"/>
      <c r="EN692" s="22"/>
      <c r="EO692" s="22"/>
      <c r="EP692" s="22"/>
      <c r="EQ692" s="22"/>
      <c r="ER692" s="22"/>
      <c r="ES692" s="22"/>
      <c r="ET692" s="22"/>
      <c r="EU692" s="22"/>
      <c r="EV692" s="22"/>
      <c r="EW692" s="22"/>
      <c r="EX692" s="22"/>
      <c r="EY692" s="22"/>
      <c r="EZ692" s="22"/>
      <c r="FA692" s="22"/>
      <c r="FB692" s="22"/>
      <c r="FC692" s="22"/>
      <c r="FD692" s="22"/>
      <c r="FE692" s="22"/>
      <c r="FF692" s="22"/>
      <c r="FG692" s="22"/>
      <c r="FH692" s="22"/>
      <c r="FI692" s="22"/>
      <c r="FJ692" s="22"/>
      <c r="FK692" s="22"/>
      <c r="FL692" s="22"/>
      <c r="FM692" s="22"/>
      <c r="FN692" s="22"/>
      <c r="FO692" s="22"/>
      <c r="FP692" s="22"/>
      <c r="FQ692" s="22"/>
      <c r="FR692" s="22"/>
      <c r="FS692" s="22"/>
      <c r="FT692" s="22"/>
      <c r="FU692" s="22"/>
      <c r="FV692" s="22"/>
      <c r="FW692" s="22"/>
      <c r="FX692" s="22"/>
      <c r="FY692" s="22"/>
      <c r="FZ692" s="22"/>
      <c r="GA692" s="22"/>
      <c r="GB692" s="22"/>
      <c r="GC692" s="22"/>
      <c r="GD692" s="22"/>
      <c r="GE692" s="22"/>
      <c r="GF692" s="22"/>
      <c r="GG692" s="22"/>
      <c r="GH692" s="22"/>
      <c r="GI692" s="22"/>
      <c r="GJ692" s="22"/>
      <c r="GK692" s="22"/>
      <c r="GL692" s="22"/>
      <c r="GM692" s="22"/>
      <c r="GN692" s="22"/>
      <c r="GO692" s="22"/>
      <c r="GP692" s="22"/>
    </row>
    <row r="693" spans="1:198">
      <c r="A693" s="1">
        <f t="shared" si="10"/>
        <v>692</v>
      </c>
      <c r="B693" s="12" t="s">
        <v>1033</v>
      </c>
      <c r="C693" s="4"/>
      <c r="D693" s="13"/>
      <c r="E693" s="14"/>
      <c r="F693" s="4" t="s">
        <v>1032</v>
      </c>
      <c r="G693" s="4"/>
      <c r="H693" s="4">
        <v>1000</v>
      </c>
      <c r="I693" s="4" t="s">
        <v>14</v>
      </c>
      <c r="J693" s="4"/>
      <c r="K693" s="13">
        <v>1000</v>
      </c>
    </row>
    <row r="694" spans="1:198">
      <c r="A694" s="1">
        <f t="shared" si="10"/>
        <v>693</v>
      </c>
      <c r="B694" s="12">
        <v>40697104</v>
      </c>
      <c r="C694" s="4" t="s">
        <v>1034</v>
      </c>
      <c r="D694" s="13" t="s">
        <v>1035</v>
      </c>
      <c r="E694" s="14" t="s">
        <v>1036</v>
      </c>
      <c r="F694" s="4" t="s">
        <v>1037</v>
      </c>
      <c r="G694" s="15">
        <v>532.69000000000005</v>
      </c>
      <c r="H694" s="4">
        <v>1</v>
      </c>
      <c r="I694" s="4" t="s">
        <v>14</v>
      </c>
      <c r="J694" s="15">
        <v>532.69000000000005</v>
      </c>
      <c r="K694" s="13">
        <v>1</v>
      </c>
    </row>
    <row r="695" spans="1:198">
      <c r="A695" s="1">
        <f t="shared" si="10"/>
        <v>694</v>
      </c>
      <c r="B695" s="12">
        <v>40697162</v>
      </c>
      <c r="C695" s="4" t="s">
        <v>1038</v>
      </c>
      <c r="D695" s="13" t="s">
        <v>1039</v>
      </c>
      <c r="E695" s="14" t="s">
        <v>1040</v>
      </c>
      <c r="F695" s="4" t="s">
        <v>1041</v>
      </c>
      <c r="G695" s="15">
        <v>576.77</v>
      </c>
      <c r="H695" s="4">
        <v>1</v>
      </c>
      <c r="I695" s="4" t="s">
        <v>14</v>
      </c>
      <c r="J695" s="15">
        <v>576.77</v>
      </c>
      <c r="K695" s="13">
        <v>1</v>
      </c>
    </row>
    <row r="696" spans="1:198">
      <c r="A696" s="1">
        <f t="shared" si="10"/>
        <v>695</v>
      </c>
      <c r="B696" s="23" t="s">
        <v>1042</v>
      </c>
      <c r="C696" s="24"/>
      <c r="D696" s="25" t="s">
        <v>1043</v>
      </c>
      <c r="E696" s="26"/>
      <c r="F696" s="24" t="s">
        <v>1044</v>
      </c>
      <c r="G696" s="15" t="s">
        <v>149</v>
      </c>
      <c r="H696" s="24">
        <v>200</v>
      </c>
      <c r="I696" s="24" t="s">
        <v>14</v>
      </c>
      <c r="J696" s="15"/>
      <c r="K696" s="25">
        <v>200</v>
      </c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  <c r="BV696" s="22"/>
      <c r="BW696" s="22"/>
      <c r="BX696" s="22"/>
      <c r="BY696" s="22"/>
      <c r="BZ696" s="22"/>
      <c r="CA696" s="22"/>
      <c r="CB696" s="22"/>
      <c r="CC696" s="22"/>
      <c r="CD696" s="22"/>
      <c r="CE696" s="22"/>
      <c r="CF696" s="22"/>
      <c r="CG696" s="22"/>
      <c r="CH696" s="22"/>
      <c r="CI696" s="22"/>
      <c r="CJ696" s="22"/>
      <c r="CK696" s="22"/>
      <c r="CL696" s="22"/>
      <c r="CM696" s="22"/>
      <c r="CN696" s="22"/>
      <c r="CO696" s="22"/>
      <c r="CP696" s="22"/>
      <c r="CQ696" s="22"/>
      <c r="CR696" s="22"/>
      <c r="CS696" s="22"/>
      <c r="CT696" s="22"/>
      <c r="CU696" s="22"/>
      <c r="CV696" s="22"/>
      <c r="CW696" s="22"/>
      <c r="CX696" s="22"/>
      <c r="CY696" s="22"/>
      <c r="CZ696" s="22"/>
      <c r="DA696" s="22"/>
      <c r="DB696" s="22"/>
      <c r="DC696" s="22"/>
      <c r="DD696" s="22"/>
      <c r="DE696" s="22"/>
      <c r="DF696" s="22"/>
      <c r="DG696" s="22"/>
      <c r="DH696" s="22"/>
      <c r="DI696" s="22"/>
      <c r="DJ696" s="22"/>
      <c r="DK696" s="22"/>
      <c r="DL696" s="22"/>
      <c r="DM696" s="22"/>
      <c r="DN696" s="22"/>
      <c r="DO696" s="22"/>
      <c r="DP696" s="22"/>
      <c r="DQ696" s="22"/>
      <c r="DR696" s="22"/>
      <c r="DS696" s="22"/>
      <c r="DT696" s="22"/>
      <c r="DU696" s="22"/>
      <c r="DV696" s="22"/>
      <c r="DW696" s="22"/>
      <c r="DX696" s="22"/>
      <c r="DY696" s="22"/>
      <c r="DZ696" s="22"/>
      <c r="EA696" s="22"/>
      <c r="EB696" s="22"/>
      <c r="EC696" s="22"/>
      <c r="ED696" s="22"/>
      <c r="EE696" s="22"/>
      <c r="EF696" s="22"/>
      <c r="EG696" s="22"/>
      <c r="EH696" s="22"/>
      <c r="EI696" s="22"/>
      <c r="EJ696" s="22"/>
      <c r="EK696" s="22"/>
      <c r="EL696" s="22"/>
      <c r="EM696" s="22"/>
      <c r="EN696" s="22"/>
      <c r="EO696" s="22"/>
      <c r="EP696" s="22"/>
      <c r="EQ696" s="22"/>
      <c r="ER696" s="22"/>
      <c r="ES696" s="22"/>
      <c r="ET696" s="22"/>
      <c r="EU696" s="22"/>
      <c r="EV696" s="22"/>
      <c r="EW696" s="22"/>
      <c r="EX696" s="22"/>
      <c r="EY696" s="22"/>
      <c r="EZ696" s="22"/>
      <c r="FA696" s="22"/>
      <c r="FB696" s="22"/>
      <c r="FC696" s="22"/>
      <c r="FD696" s="22"/>
      <c r="FE696" s="22"/>
      <c r="FF696" s="22"/>
      <c r="FG696" s="22"/>
      <c r="FH696" s="22"/>
      <c r="FI696" s="22"/>
      <c r="FJ696" s="22"/>
      <c r="FK696" s="22"/>
      <c r="FL696" s="22"/>
      <c r="FM696" s="22"/>
      <c r="FN696" s="22"/>
      <c r="FO696" s="22"/>
      <c r="FP696" s="22"/>
      <c r="FQ696" s="22"/>
      <c r="FR696" s="22"/>
      <c r="FS696" s="22"/>
      <c r="FT696" s="22"/>
      <c r="FU696" s="22"/>
      <c r="FV696" s="22"/>
      <c r="FW696" s="22"/>
      <c r="FX696" s="22"/>
      <c r="FY696" s="22"/>
      <c r="FZ696" s="22"/>
      <c r="GA696" s="22"/>
      <c r="GB696" s="22"/>
      <c r="GC696" s="22"/>
      <c r="GD696" s="22"/>
      <c r="GE696" s="22"/>
      <c r="GF696" s="22"/>
      <c r="GG696" s="22"/>
      <c r="GH696" s="22"/>
      <c r="GI696" s="22"/>
      <c r="GJ696" s="22"/>
      <c r="GK696" s="22"/>
      <c r="GL696" s="22"/>
      <c r="GM696" s="22"/>
      <c r="GN696" s="22"/>
      <c r="GO696" s="22"/>
      <c r="GP696" s="22"/>
    </row>
    <row r="697" spans="1:198">
      <c r="A697" s="1">
        <f t="shared" si="10"/>
        <v>696</v>
      </c>
      <c r="B697" s="12">
        <v>40766679</v>
      </c>
      <c r="C697" s="4" t="s">
        <v>1014</v>
      </c>
      <c r="D697" s="13" t="s">
        <v>1015</v>
      </c>
      <c r="E697" s="14" t="s">
        <v>371</v>
      </c>
      <c r="F697" s="4" t="s">
        <v>1045</v>
      </c>
      <c r="G697" s="15">
        <v>37.520000000000003</v>
      </c>
      <c r="H697" s="4">
        <v>20</v>
      </c>
      <c r="I697" s="4" t="s">
        <v>14</v>
      </c>
      <c r="J697" s="15">
        <v>750.4</v>
      </c>
      <c r="K697" s="13">
        <v>20</v>
      </c>
    </row>
    <row r="698" spans="1:198">
      <c r="A698" s="1">
        <f t="shared" si="10"/>
        <v>697</v>
      </c>
      <c r="B698" s="12">
        <v>40766680</v>
      </c>
      <c r="C698" s="4" t="s">
        <v>1046</v>
      </c>
      <c r="D698" s="13" t="s">
        <v>1047</v>
      </c>
      <c r="E698" s="14" t="s">
        <v>371</v>
      </c>
      <c r="F698" s="4" t="s">
        <v>1048</v>
      </c>
      <c r="G698" s="15">
        <v>106.7</v>
      </c>
      <c r="H698" s="4">
        <v>6</v>
      </c>
      <c r="I698" s="4" t="s">
        <v>14</v>
      </c>
      <c r="J698" s="15">
        <v>640.20000000000005</v>
      </c>
      <c r="K698" s="13">
        <v>6</v>
      </c>
    </row>
    <row r="699" spans="1:198">
      <c r="A699" s="1">
        <f t="shared" si="10"/>
        <v>698</v>
      </c>
      <c r="B699" s="12">
        <v>40766686</v>
      </c>
      <c r="C699" s="4" t="s">
        <v>1046</v>
      </c>
      <c r="D699" s="13" t="s">
        <v>1047</v>
      </c>
      <c r="E699" s="14" t="s">
        <v>373</v>
      </c>
      <c r="F699" s="4" t="s">
        <v>1049</v>
      </c>
      <c r="G699" s="15">
        <v>111.79</v>
      </c>
      <c r="H699" s="4">
        <v>4</v>
      </c>
      <c r="I699" s="4" t="s">
        <v>14</v>
      </c>
      <c r="J699" s="15">
        <v>447.16</v>
      </c>
      <c r="K699" s="13">
        <v>4</v>
      </c>
    </row>
    <row r="700" spans="1:198">
      <c r="A700" s="1">
        <f t="shared" si="10"/>
        <v>699</v>
      </c>
      <c r="B700" s="12">
        <v>40714025</v>
      </c>
      <c r="C700" s="4" t="s">
        <v>1050</v>
      </c>
      <c r="D700" s="13" t="s">
        <v>1051</v>
      </c>
      <c r="E700" s="14" t="s">
        <v>371</v>
      </c>
      <c r="F700" s="4" t="s">
        <v>1052</v>
      </c>
      <c r="G700" s="15">
        <v>95.96</v>
      </c>
      <c r="H700" s="4">
        <v>6</v>
      </c>
      <c r="I700" s="4" t="s">
        <v>14</v>
      </c>
      <c r="J700" s="15">
        <v>575.76</v>
      </c>
      <c r="K700" s="13">
        <v>6</v>
      </c>
    </row>
    <row r="701" spans="1:198">
      <c r="A701" s="1">
        <f t="shared" si="10"/>
        <v>700</v>
      </c>
      <c r="B701" s="12">
        <v>40766683</v>
      </c>
      <c r="C701" s="4" t="s">
        <v>1050</v>
      </c>
      <c r="D701" s="13" t="s">
        <v>1051</v>
      </c>
      <c r="E701" s="14" t="s">
        <v>373</v>
      </c>
      <c r="F701" s="4" t="s">
        <v>1053</v>
      </c>
      <c r="G701" s="15">
        <v>78.459999999999994</v>
      </c>
      <c r="H701" s="4">
        <v>20</v>
      </c>
      <c r="I701" s="4" t="s">
        <v>14</v>
      </c>
      <c r="J701" s="15">
        <v>1569.2</v>
      </c>
      <c r="K701" s="13">
        <v>6</v>
      </c>
    </row>
    <row r="702" spans="1:198">
      <c r="A702" s="1">
        <f t="shared" si="10"/>
        <v>701</v>
      </c>
      <c r="B702" s="12">
        <v>40662722</v>
      </c>
      <c r="C702" s="4"/>
      <c r="D702" s="13" t="s">
        <v>1054</v>
      </c>
      <c r="E702" s="14"/>
      <c r="F702" s="4" t="s">
        <v>1055</v>
      </c>
      <c r="G702" s="4"/>
      <c r="H702" s="4">
        <v>6</v>
      </c>
      <c r="I702" s="4" t="s">
        <v>14</v>
      </c>
      <c r="J702" s="4"/>
      <c r="K702" s="13">
        <v>6</v>
      </c>
    </row>
    <row r="703" spans="1:198">
      <c r="A703" s="1">
        <f t="shared" si="10"/>
        <v>702</v>
      </c>
      <c r="B703" s="12">
        <v>331200242</v>
      </c>
      <c r="C703" s="4"/>
      <c r="D703" s="13" t="s">
        <v>1056</v>
      </c>
      <c r="E703" s="14"/>
      <c r="F703" s="4" t="s">
        <v>1057</v>
      </c>
      <c r="G703" s="4"/>
      <c r="H703" s="4">
        <v>300</v>
      </c>
      <c r="I703" s="4" t="s">
        <v>14</v>
      </c>
      <c r="J703" s="4"/>
      <c r="K703" s="13">
        <v>300</v>
      </c>
    </row>
    <row r="704" spans="1:198">
      <c r="A704" s="1">
        <f t="shared" si="10"/>
        <v>703</v>
      </c>
      <c r="B704" s="12">
        <v>331200238</v>
      </c>
      <c r="C704" s="4"/>
      <c r="D704" s="13" t="s">
        <v>1058</v>
      </c>
      <c r="E704" s="14"/>
      <c r="F704" s="4" t="s">
        <v>1057</v>
      </c>
      <c r="G704" s="4"/>
      <c r="H704" s="4">
        <v>101</v>
      </c>
      <c r="I704" s="4" t="s">
        <v>14</v>
      </c>
      <c r="J704" s="4"/>
      <c r="K704" s="13">
        <v>101</v>
      </c>
    </row>
    <row r="705" spans="1:198">
      <c r="A705" s="1">
        <f t="shared" si="10"/>
        <v>704</v>
      </c>
      <c r="B705" s="12">
        <v>331200239</v>
      </c>
      <c r="C705" s="4"/>
      <c r="D705" s="13" t="s">
        <v>1059</v>
      </c>
      <c r="E705" s="14"/>
      <c r="F705" s="4" t="s">
        <v>1060</v>
      </c>
      <c r="G705" s="4"/>
      <c r="H705" s="4">
        <v>307</v>
      </c>
      <c r="I705" s="4" t="s">
        <v>14</v>
      </c>
      <c r="J705" s="4"/>
      <c r="K705" s="13">
        <v>307</v>
      </c>
    </row>
    <row r="706" spans="1:198">
      <c r="A706" s="1">
        <f t="shared" ref="A706:A769" si="11">ROW()-1</f>
        <v>705</v>
      </c>
      <c r="B706" s="12" t="s">
        <v>3466</v>
      </c>
      <c r="C706" s="4"/>
      <c r="D706" s="13" t="s">
        <v>3467</v>
      </c>
      <c r="E706" s="14"/>
      <c r="F706" s="4" t="s">
        <v>1060</v>
      </c>
      <c r="G706" s="4"/>
      <c r="H706" s="4">
        <v>500</v>
      </c>
      <c r="I706" s="4" t="s">
        <v>14</v>
      </c>
      <c r="J706" s="4"/>
      <c r="K706" s="4">
        <v>212</v>
      </c>
    </row>
    <row r="707" spans="1:198">
      <c r="A707" s="1">
        <f t="shared" si="11"/>
        <v>706</v>
      </c>
      <c r="B707" s="12">
        <v>331200240</v>
      </c>
      <c r="C707" s="4"/>
      <c r="D707" s="13"/>
      <c r="E707" s="14"/>
      <c r="F707" s="4" t="s">
        <v>3468</v>
      </c>
      <c r="G707" s="4"/>
      <c r="H707" s="4">
        <v>500</v>
      </c>
      <c r="I707" s="4" t="s">
        <v>14</v>
      </c>
      <c r="J707" s="4"/>
      <c r="K707" s="4">
        <v>500</v>
      </c>
    </row>
    <row r="708" spans="1:198">
      <c r="A708" s="1">
        <f t="shared" si="11"/>
        <v>707</v>
      </c>
      <c r="B708" s="12" t="s">
        <v>1061</v>
      </c>
      <c r="C708" s="4"/>
      <c r="D708" s="13" t="s">
        <v>1062</v>
      </c>
      <c r="E708" s="14"/>
      <c r="F708" s="4" t="s">
        <v>3469</v>
      </c>
      <c r="G708" s="4"/>
      <c r="H708" s="4">
        <v>500</v>
      </c>
      <c r="I708" s="4" t="s">
        <v>14</v>
      </c>
      <c r="J708" s="4"/>
      <c r="K708" s="4">
        <v>500</v>
      </c>
    </row>
    <row r="709" spans="1:198">
      <c r="A709" s="1">
        <f t="shared" si="11"/>
        <v>708</v>
      </c>
      <c r="B709" s="12" t="s">
        <v>1063</v>
      </c>
      <c r="C709" s="4"/>
      <c r="D709" s="13" t="s">
        <v>1064</v>
      </c>
      <c r="E709" s="14"/>
      <c r="F709" s="4" t="s">
        <v>1065</v>
      </c>
      <c r="G709" s="15" t="s">
        <v>149</v>
      </c>
      <c r="H709" s="4">
        <v>56</v>
      </c>
      <c r="I709" s="4" t="s">
        <v>14</v>
      </c>
      <c r="J709" s="15"/>
      <c r="K709" s="13">
        <v>56</v>
      </c>
    </row>
    <row r="710" spans="1:198">
      <c r="A710" s="1">
        <f t="shared" si="11"/>
        <v>709</v>
      </c>
      <c r="B710" s="12">
        <v>40691040</v>
      </c>
      <c r="C710" s="4"/>
      <c r="D710" s="13" t="s">
        <v>1066</v>
      </c>
      <c r="E710" s="14"/>
      <c r="F710" s="4" t="s">
        <v>1067</v>
      </c>
      <c r="G710" s="15">
        <v>16.350000000000001</v>
      </c>
      <c r="H710" s="4">
        <v>3</v>
      </c>
      <c r="I710" s="4" t="s">
        <v>14</v>
      </c>
      <c r="J710" s="15">
        <v>49.05</v>
      </c>
      <c r="K710" s="13">
        <v>3</v>
      </c>
    </row>
    <row r="711" spans="1:198">
      <c r="A711" s="1">
        <f t="shared" si="11"/>
        <v>710</v>
      </c>
      <c r="B711" s="12">
        <v>40660982</v>
      </c>
      <c r="C711" s="4"/>
      <c r="D711" s="13" t="s">
        <v>1068</v>
      </c>
      <c r="E711" s="14"/>
      <c r="F711" s="4" t="s">
        <v>1069</v>
      </c>
      <c r="G711" s="15">
        <v>792.26</v>
      </c>
      <c r="H711" s="4">
        <v>6</v>
      </c>
      <c r="I711" s="4" t="s">
        <v>14</v>
      </c>
      <c r="J711" s="15">
        <v>4753.5600000000004</v>
      </c>
      <c r="K711" s="13">
        <v>6</v>
      </c>
    </row>
    <row r="712" spans="1:198">
      <c r="A712" s="1">
        <f t="shared" si="11"/>
        <v>711</v>
      </c>
      <c r="B712" s="12">
        <v>40141180</v>
      </c>
      <c r="C712" s="4"/>
      <c r="D712" s="13" t="s">
        <v>1070</v>
      </c>
      <c r="E712" s="14"/>
      <c r="F712" s="4" t="s">
        <v>1071</v>
      </c>
      <c r="G712" s="15">
        <v>12.15</v>
      </c>
      <c r="H712" s="4">
        <v>64</v>
      </c>
      <c r="I712" s="4" t="s">
        <v>14</v>
      </c>
      <c r="J712" s="15">
        <v>1008.45</v>
      </c>
      <c r="K712" s="13">
        <v>64</v>
      </c>
    </row>
    <row r="713" spans="1:198">
      <c r="A713" s="1">
        <f t="shared" si="11"/>
        <v>712</v>
      </c>
      <c r="B713" s="23">
        <v>40136586</v>
      </c>
      <c r="C713" s="24"/>
      <c r="D713" s="25" t="s">
        <v>1072</v>
      </c>
      <c r="E713" s="26"/>
      <c r="F713" s="4" t="s">
        <v>1073</v>
      </c>
      <c r="G713" s="15">
        <v>10.14</v>
      </c>
      <c r="H713" s="24">
        <v>153</v>
      </c>
      <c r="I713" s="24" t="s">
        <v>14</v>
      </c>
      <c r="J713" s="15">
        <v>1551.42</v>
      </c>
      <c r="K713" s="25">
        <v>153</v>
      </c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  <c r="BZ713" s="22"/>
      <c r="CA713" s="22"/>
      <c r="CB713" s="22"/>
      <c r="CC713" s="22"/>
      <c r="CD713" s="22"/>
      <c r="CE713" s="22"/>
      <c r="CF713" s="22"/>
      <c r="CG713" s="22"/>
      <c r="CH713" s="22"/>
      <c r="CI713" s="22"/>
      <c r="CJ713" s="22"/>
      <c r="CK713" s="22"/>
      <c r="CL713" s="22"/>
      <c r="CM713" s="22"/>
      <c r="CN713" s="22"/>
      <c r="CO713" s="22"/>
      <c r="CP713" s="22"/>
      <c r="CQ713" s="22"/>
      <c r="CR713" s="22"/>
      <c r="CS713" s="22"/>
      <c r="CT713" s="22"/>
      <c r="CU713" s="22"/>
      <c r="CV713" s="22"/>
      <c r="CW713" s="22"/>
      <c r="CX713" s="22"/>
      <c r="CY713" s="22"/>
      <c r="CZ713" s="22"/>
      <c r="DA713" s="22"/>
      <c r="DB713" s="22"/>
      <c r="DC713" s="22"/>
      <c r="DD713" s="22"/>
      <c r="DE713" s="22"/>
      <c r="DF713" s="22"/>
      <c r="DG713" s="22"/>
      <c r="DH713" s="22"/>
      <c r="DI713" s="22"/>
      <c r="DJ713" s="22"/>
      <c r="DK713" s="22"/>
      <c r="DL713" s="22"/>
      <c r="DM713" s="22"/>
      <c r="DN713" s="22"/>
      <c r="DO713" s="22"/>
      <c r="DP713" s="22"/>
      <c r="DQ713" s="22"/>
      <c r="DR713" s="22"/>
      <c r="DS713" s="22"/>
      <c r="DT713" s="22"/>
      <c r="DU713" s="22"/>
      <c r="DV713" s="22"/>
      <c r="DW713" s="22"/>
      <c r="DX713" s="22"/>
      <c r="DY713" s="22"/>
      <c r="DZ713" s="22"/>
      <c r="EA713" s="22"/>
      <c r="EB713" s="22"/>
      <c r="EC713" s="22"/>
      <c r="ED713" s="22"/>
      <c r="EE713" s="22"/>
      <c r="EF713" s="22"/>
      <c r="EG713" s="22"/>
      <c r="EH713" s="22"/>
      <c r="EI713" s="22"/>
      <c r="EJ713" s="22"/>
      <c r="EK713" s="22"/>
      <c r="EL713" s="22"/>
      <c r="EM713" s="22"/>
      <c r="EN713" s="22"/>
      <c r="EO713" s="22"/>
      <c r="EP713" s="22"/>
      <c r="EQ713" s="22"/>
      <c r="ER713" s="22"/>
      <c r="ES713" s="22"/>
      <c r="ET713" s="22"/>
      <c r="EU713" s="22"/>
      <c r="EV713" s="22"/>
      <c r="EW713" s="22"/>
      <c r="EX713" s="22"/>
      <c r="EY713" s="22"/>
      <c r="EZ713" s="22"/>
      <c r="FA713" s="22"/>
      <c r="FB713" s="22"/>
      <c r="FC713" s="22"/>
      <c r="FD713" s="22"/>
      <c r="FE713" s="22"/>
      <c r="FF713" s="22"/>
      <c r="FG713" s="22"/>
      <c r="FH713" s="22"/>
      <c r="FI713" s="22"/>
      <c r="FJ713" s="22"/>
      <c r="FK713" s="22"/>
      <c r="FL713" s="22"/>
      <c r="FM713" s="22"/>
      <c r="FN713" s="22"/>
      <c r="FO713" s="22"/>
      <c r="FP713" s="22"/>
      <c r="FQ713" s="22"/>
      <c r="FR713" s="22"/>
      <c r="FS713" s="22"/>
      <c r="FT713" s="22"/>
      <c r="FU713" s="22"/>
      <c r="FV713" s="22"/>
      <c r="FW713" s="22"/>
      <c r="FX713" s="22"/>
      <c r="FY713" s="22"/>
      <c r="FZ713" s="22"/>
      <c r="GA713" s="22"/>
      <c r="GB713" s="22"/>
      <c r="GC713" s="22"/>
      <c r="GD713" s="22"/>
      <c r="GE713" s="22"/>
      <c r="GF713" s="22"/>
      <c r="GG713" s="22"/>
      <c r="GH713" s="22"/>
      <c r="GI713" s="22"/>
      <c r="GJ713" s="22"/>
      <c r="GK713" s="22"/>
      <c r="GL713" s="22"/>
      <c r="GM713" s="22"/>
      <c r="GN713" s="22"/>
      <c r="GO713" s="22"/>
      <c r="GP713" s="22"/>
    </row>
    <row r="714" spans="1:198">
      <c r="A714" s="1">
        <f t="shared" si="11"/>
        <v>713</v>
      </c>
      <c r="B714" s="23" t="s">
        <v>1074</v>
      </c>
      <c r="C714" s="24"/>
      <c r="D714" s="25" t="s">
        <v>1075</v>
      </c>
      <c r="E714" s="26"/>
      <c r="F714" s="4" t="s">
        <v>1073</v>
      </c>
      <c r="G714" s="15" t="s">
        <v>149</v>
      </c>
      <c r="H714" s="24">
        <v>115</v>
      </c>
      <c r="I714" s="24" t="s">
        <v>14</v>
      </c>
      <c r="J714" s="15" t="s">
        <v>149</v>
      </c>
      <c r="K714" s="25">
        <v>115</v>
      </c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  <c r="BT714" s="22"/>
      <c r="BU714" s="22"/>
      <c r="BV714" s="22"/>
      <c r="BW714" s="22"/>
      <c r="BX714" s="22"/>
      <c r="BY714" s="22"/>
      <c r="BZ714" s="22"/>
      <c r="CA714" s="22"/>
      <c r="CB714" s="22"/>
      <c r="CC714" s="22"/>
      <c r="CD714" s="22"/>
      <c r="CE714" s="22"/>
      <c r="CF714" s="22"/>
      <c r="CG714" s="22"/>
      <c r="CH714" s="22"/>
      <c r="CI714" s="22"/>
      <c r="CJ714" s="22"/>
      <c r="CK714" s="22"/>
      <c r="CL714" s="22"/>
      <c r="CM714" s="22"/>
      <c r="CN714" s="22"/>
      <c r="CO714" s="22"/>
      <c r="CP714" s="22"/>
      <c r="CQ714" s="22"/>
      <c r="CR714" s="22"/>
      <c r="CS714" s="22"/>
      <c r="CT714" s="22"/>
      <c r="CU714" s="22"/>
      <c r="CV714" s="22"/>
      <c r="CW714" s="22"/>
      <c r="CX714" s="22"/>
      <c r="CY714" s="22"/>
      <c r="CZ714" s="22"/>
      <c r="DA714" s="22"/>
      <c r="DB714" s="22"/>
      <c r="DC714" s="22"/>
      <c r="DD714" s="22"/>
      <c r="DE714" s="22"/>
      <c r="DF714" s="22"/>
      <c r="DG714" s="22"/>
      <c r="DH714" s="22"/>
      <c r="DI714" s="22"/>
      <c r="DJ714" s="22"/>
      <c r="DK714" s="22"/>
      <c r="DL714" s="22"/>
      <c r="DM714" s="22"/>
      <c r="DN714" s="22"/>
      <c r="DO714" s="22"/>
      <c r="DP714" s="22"/>
      <c r="DQ714" s="22"/>
      <c r="DR714" s="22"/>
      <c r="DS714" s="22"/>
      <c r="DT714" s="22"/>
      <c r="DU714" s="22"/>
      <c r="DV714" s="22"/>
      <c r="DW714" s="22"/>
      <c r="DX714" s="22"/>
      <c r="DY714" s="22"/>
      <c r="DZ714" s="22"/>
      <c r="EA714" s="22"/>
      <c r="EB714" s="22"/>
      <c r="EC714" s="22"/>
      <c r="ED714" s="22"/>
      <c r="EE714" s="22"/>
      <c r="EF714" s="22"/>
      <c r="EG714" s="22"/>
      <c r="EH714" s="22"/>
      <c r="EI714" s="22"/>
      <c r="EJ714" s="22"/>
      <c r="EK714" s="22"/>
      <c r="EL714" s="22"/>
      <c r="EM714" s="22"/>
      <c r="EN714" s="22"/>
      <c r="EO714" s="22"/>
      <c r="EP714" s="22"/>
      <c r="EQ714" s="22"/>
      <c r="ER714" s="22"/>
      <c r="ES714" s="22"/>
      <c r="ET714" s="22"/>
      <c r="EU714" s="22"/>
      <c r="EV714" s="22"/>
      <c r="EW714" s="22"/>
      <c r="EX714" s="22"/>
      <c r="EY714" s="22"/>
      <c r="EZ714" s="22"/>
      <c r="FA714" s="22"/>
      <c r="FB714" s="22"/>
      <c r="FC714" s="22"/>
      <c r="FD714" s="22"/>
      <c r="FE714" s="22"/>
      <c r="FF714" s="22"/>
      <c r="FG714" s="22"/>
      <c r="FH714" s="22"/>
      <c r="FI714" s="22"/>
      <c r="FJ714" s="22"/>
      <c r="FK714" s="22"/>
      <c r="FL714" s="22"/>
      <c r="FM714" s="22"/>
      <c r="FN714" s="22"/>
      <c r="FO714" s="22"/>
      <c r="FP714" s="22"/>
      <c r="FQ714" s="22"/>
      <c r="FR714" s="22"/>
      <c r="FS714" s="22"/>
      <c r="FT714" s="22"/>
      <c r="FU714" s="22"/>
      <c r="FV714" s="22"/>
      <c r="FW714" s="22"/>
      <c r="FX714" s="22"/>
      <c r="FY714" s="22"/>
      <c r="FZ714" s="22"/>
      <c r="GA714" s="22"/>
      <c r="GB714" s="22"/>
      <c r="GC714" s="22"/>
      <c r="GD714" s="22"/>
      <c r="GE714" s="22"/>
      <c r="GF714" s="22"/>
      <c r="GG714" s="22"/>
      <c r="GH714" s="22"/>
      <c r="GI714" s="22"/>
      <c r="GJ714" s="22"/>
      <c r="GK714" s="22"/>
      <c r="GL714" s="22"/>
      <c r="GM714" s="22"/>
      <c r="GN714" s="22"/>
      <c r="GO714" s="22"/>
      <c r="GP714" s="22"/>
    </row>
    <row r="715" spans="1:198">
      <c r="A715" s="1">
        <f t="shared" si="11"/>
        <v>714</v>
      </c>
      <c r="B715" s="23" t="s">
        <v>1076</v>
      </c>
      <c r="C715" s="24"/>
      <c r="D715" s="25" t="s">
        <v>1075</v>
      </c>
      <c r="E715" s="26"/>
      <c r="F715" s="4" t="s">
        <v>1073</v>
      </c>
      <c r="G715" s="15" t="s">
        <v>149</v>
      </c>
      <c r="H715" s="24">
        <v>125</v>
      </c>
      <c r="I715" s="24" t="s">
        <v>14</v>
      </c>
      <c r="J715" s="15" t="s">
        <v>149</v>
      </c>
      <c r="K715" s="25">
        <v>125</v>
      </c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  <c r="BV715" s="22"/>
      <c r="BW715" s="22"/>
      <c r="BX715" s="22"/>
      <c r="BY715" s="22"/>
      <c r="BZ715" s="22"/>
      <c r="CA715" s="22"/>
      <c r="CB715" s="22"/>
      <c r="CC715" s="22"/>
      <c r="CD715" s="22"/>
      <c r="CE715" s="22"/>
      <c r="CF715" s="22"/>
      <c r="CG715" s="22"/>
      <c r="CH715" s="22"/>
      <c r="CI715" s="22"/>
      <c r="CJ715" s="22"/>
      <c r="CK715" s="22"/>
      <c r="CL715" s="22"/>
      <c r="CM715" s="22"/>
      <c r="CN715" s="22"/>
      <c r="CO715" s="22"/>
      <c r="CP715" s="22"/>
      <c r="CQ715" s="22"/>
      <c r="CR715" s="22"/>
      <c r="CS715" s="22"/>
      <c r="CT715" s="22"/>
      <c r="CU715" s="22"/>
      <c r="CV715" s="22"/>
      <c r="CW715" s="22"/>
      <c r="CX715" s="22"/>
      <c r="CY715" s="22"/>
      <c r="CZ715" s="22"/>
      <c r="DA715" s="22"/>
      <c r="DB715" s="22"/>
      <c r="DC715" s="22"/>
      <c r="DD715" s="22"/>
      <c r="DE715" s="22"/>
      <c r="DF715" s="22"/>
      <c r="DG715" s="22"/>
      <c r="DH715" s="22"/>
      <c r="DI715" s="22"/>
      <c r="DJ715" s="22"/>
      <c r="DK715" s="22"/>
      <c r="DL715" s="22"/>
      <c r="DM715" s="22"/>
      <c r="DN715" s="22"/>
      <c r="DO715" s="22"/>
      <c r="DP715" s="22"/>
      <c r="DQ715" s="22"/>
      <c r="DR715" s="22"/>
      <c r="DS715" s="22"/>
      <c r="DT715" s="22"/>
      <c r="DU715" s="22"/>
      <c r="DV715" s="22"/>
      <c r="DW715" s="22"/>
      <c r="DX715" s="22"/>
      <c r="DY715" s="22"/>
      <c r="DZ715" s="22"/>
      <c r="EA715" s="22"/>
      <c r="EB715" s="22"/>
      <c r="EC715" s="22"/>
      <c r="ED715" s="22"/>
      <c r="EE715" s="22"/>
      <c r="EF715" s="22"/>
      <c r="EG715" s="22"/>
      <c r="EH715" s="22"/>
      <c r="EI715" s="22"/>
      <c r="EJ715" s="22"/>
      <c r="EK715" s="22"/>
      <c r="EL715" s="22"/>
      <c r="EM715" s="22"/>
      <c r="EN715" s="22"/>
      <c r="EO715" s="22"/>
      <c r="EP715" s="22"/>
      <c r="EQ715" s="22"/>
      <c r="ER715" s="22"/>
      <c r="ES715" s="22"/>
      <c r="ET715" s="22"/>
      <c r="EU715" s="22"/>
      <c r="EV715" s="22"/>
      <c r="EW715" s="22"/>
      <c r="EX715" s="22"/>
      <c r="EY715" s="22"/>
      <c r="EZ715" s="22"/>
      <c r="FA715" s="22"/>
      <c r="FB715" s="22"/>
      <c r="FC715" s="22"/>
      <c r="FD715" s="22"/>
      <c r="FE715" s="22"/>
      <c r="FF715" s="22"/>
      <c r="FG715" s="22"/>
      <c r="FH715" s="22"/>
      <c r="FI715" s="22"/>
      <c r="FJ715" s="22"/>
      <c r="FK715" s="22"/>
      <c r="FL715" s="22"/>
      <c r="FM715" s="22"/>
      <c r="FN715" s="22"/>
      <c r="FO715" s="22"/>
      <c r="FP715" s="22"/>
      <c r="FQ715" s="22"/>
      <c r="FR715" s="22"/>
      <c r="FS715" s="22"/>
      <c r="FT715" s="22"/>
      <c r="FU715" s="22"/>
      <c r="FV715" s="22"/>
      <c r="FW715" s="22"/>
      <c r="FX715" s="22"/>
      <c r="FY715" s="22"/>
      <c r="FZ715" s="22"/>
      <c r="GA715" s="22"/>
      <c r="GB715" s="22"/>
      <c r="GC715" s="22"/>
      <c r="GD715" s="22"/>
      <c r="GE715" s="22"/>
      <c r="GF715" s="22"/>
      <c r="GG715" s="22"/>
      <c r="GH715" s="22"/>
      <c r="GI715" s="22"/>
      <c r="GJ715" s="22"/>
      <c r="GK715" s="22"/>
      <c r="GL715" s="22"/>
      <c r="GM715" s="22"/>
      <c r="GN715" s="22"/>
      <c r="GO715" s="22"/>
      <c r="GP715" s="22"/>
    </row>
    <row r="716" spans="1:198">
      <c r="A716" s="1">
        <f t="shared" si="11"/>
        <v>715</v>
      </c>
      <c r="B716" s="23" t="s">
        <v>1077</v>
      </c>
      <c r="C716" s="24"/>
      <c r="D716" s="25" t="s">
        <v>1078</v>
      </c>
      <c r="E716" s="26"/>
      <c r="F716" s="4" t="s">
        <v>1073</v>
      </c>
      <c r="G716" s="15" t="s">
        <v>149</v>
      </c>
      <c r="H716" s="24">
        <v>156</v>
      </c>
      <c r="I716" s="24" t="s">
        <v>14</v>
      </c>
      <c r="J716" s="15" t="s">
        <v>149</v>
      </c>
      <c r="K716" s="25">
        <v>156</v>
      </c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2"/>
      <c r="CA716" s="22"/>
      <c r="CB716" s="22"/>
      <c r="CC716" s="22"/>
      <c r="CD716" s="22"/>
      <c r="CE716" s="22"/>
      <c r="CF716" s="22"/>
      <c r="CG716" s="22"/>
      <c r="CH716" s="22"/>
      <c r="CI716" s="22"/>
      <c r="CJ716" s="22"/>
      <c r="CK716" s="22"/>
      <c r="CL716" s="22"/>
      <c r="CM716" s="22"/>
      <c r="CN716" s="22"/>
      <c r="CO716" s="22"/>
      <c r="CP716" s="22"/>
      <c r="CQ716" s="22"/>
      <c r="CR716" s="22"/>
      <c r="CS716" s="22"/>
      <c r="CT716" s="22"/>
      <c r="CU716" s="22"/>
      <c r="CV716" s="22"/>
      <c r="CW716" s="22"/>
      <c r="CX716" s="22"/>
      <c r="CY716" s="22"/>
      <c r="CZ716" s="22"/>
      <c r="DA716" s="22"/>
      <c r="DB716" s="22"/>
      <c r="DC716" s="22"/>
      <c r="DD716" s="22"/>
      <c r="DE716" s="22"/>
      <c r="DF716" s="22"/>
      <c r="DG716" s="22"/>
      <c r="DH716" s="22"/>
      <c r="DI716" s="22"/>
      <c r="DJ716" s="22"/>
      <c r="DK716" s="22"/>
      <c r="DL716" s="22"/>
      <c r="DM716" s="22"/>
      <c r="DN716" s="22"/>
      <c r="DO716" s="22"/>
      <c r="DP716" s="22"/>
      <c r="DQ716" s="22"/>
      <c r="DR716" s="22"/>
      <c r="DS716" s="22"/>
      <c r="DT716" s="22"/>
      <c r="DU716" s="22"/>
      <c r="DV716" s="22"/>
      <c r="DW716" s="22"/>
      <c r="DX716" s="22"/>
      <c r="DY716" s="22"/>
      <c r="DZ716" s="22"/>
      <c r="EA716" s="22"/>
      <c r="EB716" s="22"/>
      <c r="EC716" s="22"/>
      <c r="ED716" s="22"/>
      <c r="EE716" s="22"/>
      <c r="EF716" s="22"/>
      <c r="EG716" s="22"/>
      <c r="EH716" s="22"/>
      <c r="EI716" s="22"/>
      <c r="EJ716" s="22"/>
      <c r="EK716" s="22"/>
      <c r="EL716" s="22"/>
      <c r="EM716" s="22"/>
      <c r="EN716" s="22"/>
      <c r="EO716" s="22"/>
      <c r="EP716" s="22"/>
      <c r="EQ716" s="22"/>
      <c r="ER716" s="22"/>
      <c r="ES716" s="22"/>
      <c r="ET716" s="22"/>
      <c r="EU716" s="22"/>
      <c r="EV716" s="22"/>
      <c r="EW716" s="22"/>
      <c r="EX716" s="22"/>
      <c r="EY716" s="22"/>
      <c r="EZ716" s="22"/>
      <c r="FA716" s="22"/>
      <c r="FB716" s="22"/>
      <c r="FC716" s="22"/>
      <c r="FD716" s="22"/>
      <c r="FE716" s="22"/>
      <c r="FF716" s="22"/>
      <c r="FG716" s="22"/>
      <c r="FH716" s="22"/>
      <c r="FI716" s="22"/>
      <c r="FJ716" s="22"/>
      <c r="FK716" s="22"/>
      <c r="FL716" s="22"/>
      <c r="FM716" s="22"/>
      <c r="FN716" s="22"/>
      <c r="FO716" s="22"/>
      <c r="FP716" s="22"/>
      <c r="FQ716" s="22"/>
      <c r="FR716" s="22"/>
      <c r="FS716" s="22"/>
      <c r="FT716" s="22"/>
      <c r="FU716" s="22"/>
      <c r="FV716" s="22"/>
      <c r="FW716" s="22"/>
      <c r="FX716" s="22"/>
      <c r="FY716" s="22"/>
      <c r="FZ716" s="22"/>
      <c r="GA716" s="22"/>
      <c r="GB716" s="22"/>
      <c r="GC716" s="22"/>
      <c r="GD716" s="22"/>
      <c r="GE716" s="22"/>
      <c r="GF716" s="22"/>
      <c r="GG716" s="22"/>
      <c r="GH716" s="22"/>
      <c r="GI716" s="22"/>
      <c r="GJ716" s="22"/>
      <c r="GK716" s="22"/>
      <c r="GL716" s="22"/>
      <c r="GM716" s="22"/>
      <c r="GN716" s="22"/>
      <c r="GO716" s="22"/>
      <c r="GP716" s="22"/>
    </row>
    <row r="717" spans="1:198">
      <c r="A717" s="1">
        <f t="shared" si="11"/>
        <v>716</v>
      </c>
      <c r="B717" s="23" t="s">
        <v>1079</v>
      </c>
      <c r="C717" s="24"/>
      <c r="D717" s="25" t="s">
        <v>1080</v>
      </c>
      <c r="E717" s="26"/>
      <c r="F717" s="4" t="s">
        <v>1073</v>
      </c>
      <c r="G717" s="15" t="s">
        <v>149</v>
      </c>
      <c r="H717" s="24">
        <v>86</v>
      </c>
      <c r="I717" s="24" t="s">
        <v>14</v>
      </c>
      <c r="J717" s="15" t="s">
        <v>149</v>
      </c>
      <c r="K717" s="25">
        <v>86</v>
      </c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  <c r="BV717" s="22"/>
      <c r="BW717" s="22"/>
      <c r="BX717" s="22"/>
      <c r="BY717" s="22"/>
      <c r="BZ717" s="22"/>
      <c r="CA717" s="22"/>
      <c r="CB717" s="22"/>
      <c r="CC717" s="22"/>
      <c r="CD717" s="22"/>
      <c r="CE717" s="22"/>
      <c r="CF717" s="22"/>
      <c r="CG717" s="22"/>
      <c r="CH717" s="22"/>
      <c r="CI717" s="22"/>
      <c r="CJ717" s="22"/>
      <c r="CK717" s="22"/>
      <c r="CL717" s="22"/>
      <c r="CM717" s="22"/>
      <c r="CN717" s="22"/>
      <c r="CO717" s="22"/>
      <c r="CP717" s="22"/>
      <c r="CQ717" s="22"/>
      <c r="CR717" s="22"/>
      <c r="CS717" s="22"/>
      <c r="CT717" s="22"/>
      <c r="CU717" s="22"/>
      <c r="CV717" s="22"/>
      <c r="CW717" s="22"/>
      <c r="CX717" s="22"/>
      <c r="CY717" s="22"/>
      <c r="CZ717" s="22"/>
      <c r="DA717" s="22"/>
      <c r="DB717" s="22"/>
      <c r="DC717" s="22"/>
      <c r="DD717" s="22"/>
      <c r="DE717" s="22"/>
      <c r="DF717" s="22"/>
      <c r="DG717" s="22"/>
      <c r="DH717" s="22"/>
      <c r="DI717" s="22"/>
      <c r="DJ717" s="22"/>
      <c r="DK717" s="22"/>
      <c r="DL717" s="22"/>
      <c r="DM717" s="22"/>
      <c r="DN717" s="22"/>
      <c r="DO717" s="22"/>
      <c r="DP717" s="22"/>
      <c r="DQ717" s="22"/>
      <c r="DR717" s="22"/>
      <c r="DS717" s="22"/>
      <c r="DT717" s="22"/>
      <c r="DU717" s="22"/>
      <c r="DV717" s="22"/>
      <c r="DW717" s="22"/>
      <c r="DX717" s="22"/>
      <c r="DY717" s="22"/>
      <c r="DZ717" s="22"/>
      <c r="EA717" s="22"/>
      <c r="EB717" s="22"/>
      <c r="EC717" s="22"/>
      <c r="ED717" s="22"/>
      <c r="EE717" s="22"/>
      <c r="EF717" s="22"/>
      <c r="EG717" s="22"/>
      <c r="EH717" s="22"/>
      <c r="EI717" s="22"/>
      <c r="EJ717" s="22"/>
      <c r="EK717" s="22"/>
      <c r="EL717" s="22"/>
      <c r="EM717" s="22"/>
      <c r="EN717" s="22"/>
      <c r="EO717" s="22"/>
      <c r="EP717" s="22"/>
      <c r="EQ717" s="22"/>
      <c r="ER717" s="22"/>
      <c r="ES717" s="22"/>
      <c r="ET717" s="22"/>
      <c r="EU717" s="22"/>
      <c r="EV717" s="22"/>
      <c r="EW717" s="22"/>
      <c r="EX717" s="22"/>
      <c r="EY717" s="22"/>
      <c r="EZ717" s="22"/>
      <c r="FA717" s="22"/>
      <c r="FB717" s="22"/>
      <c r="FC717" s="22"/>
      <c r="FD717" s="22"/>
      <c r="FE717" s="22"/>
      <c r="FF717" s="22"/>
      <c r="FG717" s="22"/>
      <c r="FH717" s="22"/>
      <c r="FI717" s="22"/>
      <c r="FJ717" s="22"/>
      <c r="FK717" s="22"/>
      <c r="FL717" s="22"/>
      <c r="FM717" s="22"/>
      <c r="FN717" s="22"/>
      <c r="FO717" s="22"/>
      <c r="FP717" s="22"/>
      <c r="FQ717" s="22"/>
      <c r="FR717" s="22"/>
      <c r="FS717" s="22"/>
      <c r="FT717" s="22"/>
      <c r="FU717" s="22"/>
      <c r="FV717" s="22"/>
      <c r="FW717" s="22"/>
      <c r="FX717" s="22"/>
      <c r="FY717" s="22"/>
      <c r="FZ717" s="22"/>
      <c r="GA717" s="22"/>
      <c r="GB717" s="22"/>
      <c r="GC717" s="22"/>
      <c r="GD717" s="22"/>
      <c r="GE717" s="22"/>
      <c r="GF717" s="22"/>
      <c r="GG717" s="22"/>
      <c r="GH717" s="22"/>
      <c r="GI717" s="22"/>
      <c r="GJ717" s="22"/>
      <c r="GK717" s="22"/>
      <c r="GL717" s="22"/>
      <c r="GM717" s="22"/>
      <c r="GN717" s="22"/>
      <c r="GO717" s="22"/>
      <c r="GP717" s="22"/>
    </row>
    <row r="718" spans="1:198">
      <c r="A718" s="1">
        <f t="shared" si="11"/>
        <v>717</v>
      </c>
      <c r="B718" s="23" t="s">
        <v>1081</v>
      </c>
      <c r="C718" s="24"/>
      <c r="D718" s="25" t="s">
        <v>1082</v>
      </c>
      <c r="E718" s="26"/>
      <c r="F718" s="4" t="s">
        <v>1073</v>
      </c>
      <c r="G718" s="15" t="s">
        <v>149</v>
      </c>
      <c r="H718" s="24">
        <v>301</v>
      </c>
      <c r="I718" s="24" t="s">
        <v>59</v>
      </c>
      <c r="J718" s="15" t="s">
        <v>149</v>
      </c>
      <c r="K718" s="25">
        <v>301</v>
      </c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  <c r="BT718" s="22"/>
      <c r="BU718" s="22"/>
      <c r="BV718" s="22"/>
      <c r="BW718" s="22"/>
      <c r="BX718" s="22"/>
      <c r="BY718" s="22"/>
      <c r="BZ718" s="22"/>
      <c r="CA718" s="22"/>
      <c r="CB718" s="22"/>
      <c r="CC718" s="22"/>
      <c r="CD718" s="22"/>
      <c r="CE718" s="22"/>
      <c r="CF718" s="22"/>
      <c r="CG718" s="22"/>
      <c r="CH718" s="22"/>
      <c r="CI718" s="22"/>
      <c r="CJ718" s="22"/>
      <c r="CK718" s="22"/>
      <c r="CL718" s="22"/>
      <c r="CM718" s="22"/>
      <c r="CN718" s="22"/>
      <c r="CO718" s="22"/>
      <c r="CP718" s="22"/>
      <c r="CQ718" s="22"/>
      <c r="CR718" s="22"/>
      <c r="CS718" s="22"/>
      <c r="CT718" s="22"/>
      <c r="CU718" s="22"/>
      <c r="CV718" s="22"/>
      <c r="CW718" s="22"/>
      <c r="CX718" s="22"/>
      <c r="CY718" s="22"/>
      <c r="CZ718" s="22"/>
      <c r="DA718" s="22"/>
      <c r="DB718" s="22"/>
      <c r="DC718" s="22"/>
      <c r="DD718" s="22"/>
      <c r="DE718" s="22"/>
      <c r="DF718" s="22"/>
      <c r="DG718" s="22"/>
      <c r="DH718" s="22"/>
      <c r="DI718" s="22"/>
      <c r="DJ718" s="22"/>
      <c r="DK718" s="22"/>
      <c r="DL718" s="22"/>
      <c r="DM718" s="22"/>
      <c r="DN718" s="22"/>
      <c r="DO718" s="22"/>
      <c r="DP718" s="22"/>
      <c r="DQ718" s="22"/>
      <c r="DR718" s="22"/>
      <c r="DS718" s="22"/>
      <c r="DT718" s="22"/>
      <c r="DU718" s="22"/>
      <c r="DV718" s="22"/>
      <c r="DW718" s="22"/>
      <c r="DX718" s="22"/>
      <c r="DY718" s="22"/>
      <c r="DZ718" s="22"/>
      <c r="EA718" s="22"/>
      <c r="EB718" s="22"/>
      <c r="EC718" s="22"/>
      <c r="ED718" s="22"/>
      <c r="EE718" s="22"/>
      <c r="EF718" s="22"/>
      <c r="EG718" s="22"/>
      <c r="EH718" s="22"/>
      <c r="EI718" s="22"/>
      <c r="EJ718" s="22"/>
      <c r="EK718" s="22"/>
      <c r="EL718" s="22"/>
      <c r="EM718" s="22"/>
      <c r="EN718" s="22"/>
      <c r="EO718" s="22"/>
      <c r="EP718" s="22"/>
      <c r="EQ718" s="22"/>
      <c r="ER718" s="22"/>
      <c r="ES718" s="22"/>
      <c r="ET718" s="22"/>
      <c r="EU718" s="22"/>
      <c r="EV718" s="22"/>
      <c r="EW718" s="22"/>
      <c r="EX718" s="22"/>
      <c r="EY718" s="22"/>
      <c r="EZ718" s="22"/>
      <c r="FA718" s="22"/>
      <c r="FB718" s="22"/>
      <c r="FC718" s="22"/>
      <c r="FD718" s="22"/>
      <c r="FE718" s="22"/>
      <c r="FF718" s="22"/>
      <c r="FG718" s="22"/>
      <c r="FH718" s="22"/>
      <c r="FI718" s="22"/>
      <c r="FJ718" s="22"/>
      <c r="FK718" s="22"/>
      <c r="FL718" s="22"/>
      <c r="FM718" s="22"/>
      <c r="FN718" s="22"/>
      <c r="FO718" s="22"/>
      <c r="FP718" s="22"/>
      <c r="FQ718" s="22"/>
      <c r="FR718" s="22"/>
      <c r="FS718" s="22"/>
      <c r="FT718" s="22"/>
      <c r="FU718" s="22"/>
      <c r="FV718" s="22"/>
      <c r="FW718" s="22"/>
      <c r="FX718" s="22"/>
      <c r="FY718" s="22"/>
      <c r="FZ718" s="22"/>
      <c r="GA718" s="22"/>
      <c r="GB718" s="22"/>
      <c r="GC718" s="22"/>
      <c r="GD718" s="22"/>
      <c r="GE718" s="22"/>
      <c r="GF718" s="22"/>
      <c r="GG718" s="22"/>
      <c r="GH718" s="22"/>
      <c r="GI718" s="22"/>
      <c r="GJ718" s="22"/>
      <c r="GK718" s="22"/>
      <c r="GL718" s="22"/>
      <c r="GM718" s="22"/>
      <c r="GN718" s="22"/>
      <c r="GO718" s="22"/>
      <c r="GP718" s="22"/>
    </row>
    <row r="719" spans="1:198">
      <c r="A719" s="1">
        <f t="shared" si="11"/>
        <v>718</v>
      </c>
      <c r="B719" s="12">
        <v>40136586</v>
      </c>
      <c r="C719" s="4"/>
      <c r="D719" s="13" t="s">
        <v>1072</v>
      </c>
      <c r="E719" s="14"/>
      <c r="F719" s="4" t="s">
        <v>1073</v>
      </c>
      <c r="G719" s="15">
        <v>10.14</v>
      </c>
      <c r="H719" s="4">
        <v>153</v>
      </c>
      <c r="I719" s="4" t="s">
        <v>14</v>
      </c>
      <c r="J719" s="15">
        <v>1551.42</v>
      </c>
      <c r="K719" s="13">
        <v>153</v>
      </c>
    </row>
    <row r="720" spans="1:198">
      <c r="A720" s="1">
        <f t="shared" si="11"/>
        <v>719</v>
      </c>
      <c r="B720" s="12">
        <v>40133686</v>
      </c>
      <c r="C720" s="4"/>
      <c r="D720" s="13" t="s">
        <v>1083</v>
      </c>
      <c r="E720" s="14"/>
      <c r="F720" s="4" t="s">
        <v>1073</v>
      </c>
      <c r="G720" s="4"/>
      <c r="H720" s="4">
        <v>35</v>
      </c>
      <c r="I720" s="4" t="s">
        <v>14</v>
      </c>
      <c r="J720" s="4"/>
      <c r="K720" s="13">
        <v>35</v>
      </c>
    </row>
    <row r="721" spans="1:11">
      <c r="A721" s="1">
        <f t="shared" si="11"/>
        <v>720</v>
      </c>
      <c r="B721" s="12">
        <v>40679008</v>
      </c>
      <c r="C721" s="4" t="s">
        <v>1084</v>
      </c>
      <c r="D721" s="13" t="s">
        <v>1085</v>
      </c>
      <c r="E721" s="14" t="s">
        <v>1086</v>
      </c>
      <c r="F721" s="4" t="s">
        <v>1087</v>
      </c>
      <c r="G721" s="15">
        <v>557.5</v>
      </c>
      <c r="H721" s="4">
        <v>30</v>
      </c>
      <c r="I721" s="4" t="s">
        <v>14</v>
      </c>
      <c r="J721" s="15">
        <v>18397.5</v>
      </c>
      <c r="K721" s="13">
        <v>22</v>
      </c>
    </row>
    <row r="722" spans="1:11">
      <c r="A722" s="1">
        <f t="shared" si="11"/>
        <v>721</v>
      </c>
      <c r="B722" s="12">
        <v>40638756</v>
      </c>
      <c r="C722" s="4"/>
      <c r="D722" s="13" t="s">
        <v>1088</v>
      </c>
      <c r="E722" s="14"/>
      <c r="F722" s="4" t="s">
        <v>1089</v>
      </c>
      <c r="G722" s="15">
        <v>257.02</v>
      </c>
      <c r="H722" s="4">
        <v>8</v>
      </c>
      <c r="I722" s="4" t="s">
        <v>14</v>
      </c>
      <c r="J722" s="15">
        <v>2056.16</v>
      </c>
      <c r="K722" s="13">
        <v>8</v>
      </c>
    </row>
    <row r="723" spans="1:11">
      <c r="A723" s="1">
        <f t="shared" si="11"/>
        <v>722</v>
      </c>
      <c r="B723" s="12" t="s">
        <v>1090</v>
      </c>
      <c r="C723" s="4"/>
      <c r="D723" s="13"/>
      <c r="E723" s="14"/>
      <c r="F723" s="4" t="s">
        <v>1091</v>
      </c>
      <c r="G723" s="15" t="s">
        <v>149</v>
      </c>
      <c r="H723" s="4">
        <v>2</v>
      </c>
      <c r="I723" s="4" t="s">
        <v>14</v>
      </c>
      <c r="J723" s="15"/>
      <c r="K723" s="13">
        <v>2</v>
      </c>
    </row>
    <row r="724" spans="1:11">
      <c r="A724" s="1">
        <f t="shared" si="11"/>
        <v>723</v>
      </c>
      <c r="B724" s="12">
        <v>40691348</v>
      </c>
      <c r="C724" s="4" t="s">
        <v>1092</v>
      </c>
      <c r="D724" s="13" t="s">
        <v>1093</v>
      </c>
      <c r="E724" s="14" t="s">
        <v>1094</v>
      </c>
      <c r="F724" s="4" t="s">
        <v>1095</v>
      </c>
      <c r="G724" s="15">
        <v>2327.7399999999998</v>
      </c>
      <c r="H724" s="4">
        <v>4</v>
      </c>
      <c r="I724" s="4" t="s">
        <v>14</v>
      </c>
      <c r="J724" s="15">
        <v>9310.9599999999991</v>
      </c>
      <c r="K724" s="13">
        <v>4</v>
      </c>
    </row>
    <row r="725" spans="1:11">
      <c r="A725" s="1">
        <f t="shared" si="11"/>
        <v>724</v>
      </c>
      <c r="B725" s="12">
        <v>40698499</v>
      </c>
      <c r="C725" s="4" t="s">
        <v>1096</v>
      </c>
      <c r="D725" s="13" t="s">
        <v>1097</v>
      </c>
      <c r="E725" s="14" t="s">
        <v>1098</v>
      </c>
      <c r="F725" s="4" t="s">
        <v>1099</v>
      </c>
      <c r="G725" s="15">
        <v>302.98</v>
      </c>
      <c r="H725" s="4">
        <v>3</v>
      </c>
      <c r="I725" s="4" t="s">
        <v>14</v>
      </c>
      <c r="J725" s="15">
        <v>908.94</v>
      </c>
      <c r="K725" s="13">
        <v>3</v>
      </c>
    </row>
    <row r="726" spans="1:11">
      <c r="A726" s="1">
        <f t="shared" si="11"/>
        <v>725</v>
      </c>
      <c r="B726" s="12">
        <v>40698498</v>
      </c>
      <c r="C726" s="4" t="s">
        <v>1096</v>
      </c>
      <c r="D726" s="13" t="s">
        <v>1097</v>
      </c>
      <c r="E726" s="14" t="s">
        <v>1100</v>
      </c>
      <c r="F726" s="4" t="s">
        <v>1101</v>
      </c>
      <c r="G726" s="15">
        <v>302.98</v>
      </c>
      <c r="H726" s="4">
        <v>3</v>
      </c>
      <c r="I726" s="4" t="s">
        <v>14</v>
      </c>
      <c r="J726" s="15">
        <v>908.94</v>
      </c>
      <c r="K726" s="13">
        <v>3</v>
      </c>
    </row>
    <row r="727" spans="1:11">
      <c r="A727" s="1">
        <f t="shared" si="11"/>
        <v>726</v>
      </c>
      <c r="B727" s="12">
        <v>40660976</v>
      </c>
      <c r="C727" s="4"/>
      <c r="D727" s="13" t="s">
        <v>1102</v>
      </c>
      <c r="E727" s="14"/>
      <c r="F727" s="4" t="s">
        <v>1103</v>
      </c>
      <c r="G727" s="15">
        <v>1143.8699999999999</v>
      </c>
      <c r="H727" s="4">
        <v>5</v>
      </c>
      <c r="I727" s="4" t="s">
        <v>14</v>
      </c>
      <c r="J727" s="15">
        <v>5719.35</v>
      </c>
      <c r="K727" s="13">
        <v>5</v>
      </c>
    </row>
    <row r="728" spans="1:11">
      <c r="A728" s="1">
        <f t="shared" si="11"/>
        <v>727</v>
      </c>
      <c r="B728" s="12">
        <v>40765419</v>
      </c>
      <c r="C728" s="4" t="s">
        <v>1104</v>
      </c>
      <c r="D728" s="13" t="s">
        <v>1105</v>
      </c>
      <c r="E728" s="14" t="s">
        <v>1106</v>
      </c>
      <c r="F728" s="4" t="s">
        <v>1107</v>
      </c>
      <c r="G728" s="15">
        <v>3765.83</v>
      </c>
      <c r="H728" s="4">
        <v>2</v>
      </c>
      <c r="I728" s="4" t="s">
        <v>14</v>
      </c>
      <c r="J728" s="15">
        <v>7531.66</v>
      </c>
      <c r="K728" s="13">
        <v>2</v>
      </c>
    </row>
    <row r="729" spans="1:11">
      <c r="A729" s="1">
        <f t="shared" si="11"/>
        <v>728</v>
      </c>
      <c r="B729" s="12">
        <v>40697157</v>
      </c>
      <c r="C729" s="4"/>
      <c r="D729" s="13" t="s">
        <v>1108</v>
      </c>
      <c r="E729" s="14"/>
      <c r="F729" s="4" t="s">
        <v>1109</v>
      </c>
      <c r="G729" s="15">
        <v>81.14</v>
      </c>
      <c r="H729" s="4">
        <v>9</v>
      </c>
      <c r="I729" s="4" t="s">
        <v>14</v>
      </c>
      <c r="J729" s="15">
        <v>730.26</v>
      </c>
      <c r="K729" s="13">
        <v>9</v>
      </c>
    </row>
    <row r="730" spans="1:11">
      <c r="A730" s="1">
        <f t="shared" si="11"/>
        <v>729</v>
      </c>
      <c r="B730" s="12">
        <v>40693119</v>
      </c>
      <c r="C730" s="4" t="s">
        <v>1046</v>
      </c>
      <c r="D730" s="13" t="s">
        <v>1047</v>
      </c>
      <c r="E730" s="14">
        <v>6220</v>
      </c>
      <c r="F730" s="4" t="s">
        <v>1110</v>
      </c>
      <c r="G730" s="15">
        <v>85.35</v>
      </c>
      <c r="H730" s="4">
        <v>22</v>
      </c>
      <c r="I730" s="4" t="s">
        <v>14</v>
      </c>
      <c r="J730" s="15">
        <v>1877.7</v>
      </c>
      <c r="K730" s="13">
        <v>22</v>
      </c>
    </row>
    <row r="731" spans="1:11">
      <c r="A731" s="1">
        <f t="shared" si="11"/>
        <v>730</v>
      </c>
      <c r="B731" s="12">
        <v>40693118</v>
      </c>
      <c r="C731" s="4" t="s">
        <v>1050</v>
      </c>
      <c r="D731" s="13" t="s">
        <v>1051</v>
      </c>
      <c r="E731" s="14" t="s">
        <v>768</v>
      </c>
      <c r="F731" s="4" t="s">
        <v>1111</v>
      </c>
      <c r="G731" s="15">
        <v>70.63</v>
      </c>
      <c r="H731" s="4">
        <v>18</v>
      </c>
      <c r="I731" s="4" t="s">
        <v>14</v>
      </c>
      <c r="J731" s="15">
        <v>1271.3399999999999</v>
      </c>
      <c r="K731" s="13">
        <v>18</v>
      </c>
    </row>
    <row r="732" spans="1:11">
      <c r="A732" s="1">
        <f t="shared" si="11"/>
        <v>731</v>
      </c>
      <c r="B732" s="12">
        <v>40693123</v>
      </c>
      <c r="C732" s="4" t="s">
        <v>1050</v>
      </c>
      <c r="D732" s="13" t="s">
        <v>1051</v>
      </c>
      <c r="E732" s="14" t="s">
        <v>1112</v>
      </c>
      <c r="F732" s="4" t="s">
        <v>1113</v>
      </c>
      <c r="G732" s="15">
        <v>49.36</v>
      </c>
      <c r="H732" s="4">
        <v>26</v>
      </c>
      <c r="I732" s="4" t="s">
        <v>14</v>
      </c>
      <c r="J732" s="15">
        <v>1283.3599999999999</v>
      </c>
      <c r="K732" s="13">
        <v>26</v>
      </c>
    </row>
    <row r="733" spans="1:11">
      <c r="A733" s="1">
        <f t="shared" si="11"/>
        <v>732</v>
      </c>
      <c r="B733" s="12">
        <v>40676185</v>
      </c>
      <c r="C733" s="4"/>
      <c r="D733" s="13" t="s">
        <v>1114</v>
      </c>
      <c r="E733" s="14"/>
      <c r="F733" s="4" t="s">
        <v>1115</v>
      </c>
      <c r="G733" s="15">
        <v>1067.0999999999999</v>
      </c>
      <c r="H733" s="4">
        <v>2</v>
      </c>
      <c r="I733" s="4" t="s">
        <v>14</v>
      </c>
      <c r="J733" s="15">
        <v>2134.1999999999998</v>
      </c>
      <c r="K733" s="13">
        <v>2</v>
      </c>
    </row>
    <row r="734" spans="1:11">
      <c r="A734" s="1">
        <f t="shared" si="11"/>
        <v>733</v>
      </c>
      <c r="B734" s="12">
        <v>40638737</v>
      </c>
      <c r="C734" s="4"/>
      <c r="D734" s="13"/>
      <c r="E734" s="14"/>
      <c r="F734" s="4" t="s">
        <v>1116</v>
      </c>
      <c r="G734" s="15" t="s">
        <v>149</v>
      </c>
      <c r="H734" s="4">
        <v>8</v>
      </c>
      <c r="I734" s="4" t="s">
        <v>14</v>
      </c>
      <c r="J734" s="15"/>
      <c r="K734" s="13">
        <v>8</v>
      </c>
    </row>
    <row r="735" spans="1:11">
      <c r="A735" s="1">
        <f t="shared" si="11"/>
        <v>734</v>
      </c>
      <c r="B735" s="12">
        <v>40660998</v>
      </c>
      <c r="C735" s="4"/>
      <c r="D735" s="13" t="s">
        <v>1117</v>
      </c>
      <c r="E735" s="14"/>
      <c r="F735" s="4" t="s">
        <v>1118</v>
      </c>
      <c r="G735" s="15">
        <v>10.96</v>
      </c>
      <c r="H735" s="4">
        <v>2</v>
      </c>
      <c r="I735" s="4" t="s">
        <v>14</v>
      </c>
      <c r="J735" s="15">
        <v>21.92</v>
      </c>
      <c r="K735" s="13">
        <v>2</v>
      </c>
    </row>
    <row r="736" spans="1:11">
      <c r="A736" s="1">
        <f t="shared" si="11"/>
        <v>735</v>
      </c>
      <c r="B736" s="12">
        <v>40697203</v>
      </c>
      <c r="C736" s="4"/>
      <c r="D736" s="13" t="s">
        <v>1119</v>
      </c>
      <c r="E736" s="14"/>
      <c r="F736" s="4" t="s">
        <v>1120</v>
      </c>
      <c r="G736" s="15">
        <v>123.35</v>
      </c>
      <c r="H736" s="4">
        <v>2</v>
      </c>
      <c r="I736" s="4" t="s">
        <v>14</v>
      </c>
      <c r="J736" s="15">
        <v>246.7</v>
      </c>
      <c r="K736" s="13">
        <v>2</v>
      </c>
    </row>
    <row r="737" spans="1:198">
      <c r="A737" s="1">
        <f t="shared" si="11"/>
        <v>736</v>
      </c>
      <c r="B737" s="12">
        <v>40789257</v>
      </c>
      <c r="C737" s="4"/>
      <c r="D737" s="13" t="s">
        <v>1121</v>
      </c>
      <c r="E737" s="14"/>
      <c r="F737" s="4" t="s">
        <v>1122</v>
      </c>
      <c r="G737" s="15">
        <v>0.23</v>
      </c>
      <c r="H737" s="4">
        <v>2288</v>
      </c>
      <c r="I737" s="4" t="s">
        <v>14</v>
      </c>
      <c r="J737" s="15">
        <v>526.24</v>
      </c>
      <c r="K737" s="13">
        <v>2288</v>
      </c>
    </row>
    <row r="738" spans="1:198">
      <c r="A738" s="1">
        <f t="shared" si="11"/>
        <v>737</v>
      </c>
      <c r="B738" s="12" t="s">
        <v>1123</v>
      </c>
      <c r="C738" s="4"/>
      <c r="D738" s="13" t="s">
        <v>1124</v>
      </c>
      <c r="E738" s="14"/>
      <c r="F738" s="4" t="s">
        <v>1125</v>
      </c>
      <c r="G738" s="15" t="s">
        <v>149</v>
      </c>
      <c r="H738" s="4">
        <v>706</v>
      </c>
      <c r="I738" s="4" t="s">
        <v>14</v>
      </c>
      <c r="J738" s="15" t="s">
        <v>149</v>
      </c>
      <c r="K738" s="13">
        <v>706</v>
      </c>
    </row>
    <row r="739" spans="1:198">
      <c r="A739" s="1">
        <f t="shared" si="11"/>
        <v>738</v>
      </c>
      <c r="B739" s="12" t="s">
        <v>1126</v>
      </c>
      <c r="C739" s="4"/>
      <c r="D739" s="13" t="s">
        <v>1127</v>
      </c>
      <c r="E739" s="14"/>
      <c r="F739" s="4" t="s">
        <v>1125</v>
      </c>
      <c r="G739" s="15" t="s">
        <v>149</v>
      </c>
      <c r="H739" s="4">
        <v>599</v>
      </c>
      <c r="I739" s="4" t="s">
        <v>14</v>
      </c>
      <c r="J739" s="15" t="s">
        <v>149</v>
      </c>
      <c r="K739" s="13">
        <v>599</v>
      </c>
    </row>
    <row r="740" spans="1:198">
      <c r="A740" s="1">
        <f t="shared" si="11"/>
        <v>739</v>
      </c>
      <c r="B740" s="12" t="s">
        <v>1128</v>
      </c>
      <c r="C740" s="4"/>
      <c r="D740" s="13" t="s">
        <v>1129</v>
      </c>
      <c r="E740" s="14"/>
      <c r="F740" s="4" t="s">
        <v>1125</v>
      </c>
      <c r="G740" s="15" t="s">
        <v>149</v>
      </c>
      <c r="H740" s="4">
        <v>495</v>
      </c>
      <c r="I740" s="4" t="s">
        <v>14</v>
      </c>
      <c r="J740" s="15" t="s">
        <v>149</v>
      </c>
      <c r="K740" s="13">
        <v>495</v>
      </c>
    </row>
    <row r="741" spans="1:198">
      <c r="A741" s="1">
        <f t="shared" si="11"/>
        <v>740</v>
      </c>
      <c r="B741" s="12">
        <v>40766678</v>
      </c>
      <c r="C741" s="4" t="s">
        <v>1130</v>
      </c>
      <c r="D741" s="13" t="s">
        <v>1131</v>
      </c>
      <c r="E741" s="14" t="s">
        <v>371</v>
      </c>
      <c r="F741" s="4" t="s">
        <v>1132</v>
      </c>
      <c r="G741" s="15">
        <v>689.49</v>
      </c>
      <c r="H741" s="4">
        <v>6</v>
      </c>
      <c r="I741" s="4" t="s">
        <v>14</v>
      </c>
      <c r="J741" s="15">
        <v>4136.9399999999996</v>
      </c>
      <c r="K741" s="13">
        <v>6</v>
      </c>
    </row>
    <row r="742" spans="1:198">
      <c r="A742" s="1">
        <f t="shared" si="11"/>
        <v>741</v>
      </c>
      <c r="B742" s="12">
        <v>40766684</v>
      </c>
      <c r="C742" s="4" t="s">
        <v>1130</v>
      </c>
      <c r="D742" s="13" t="s">
        <v>1131</v>
      </c>
      <c r="E742" s="14" t="s">
        <v>373</v>
      </c>
      <c r="F742" s="4" t="s">
        <v>1133</v>
      </c>
      <c r="G742" s="15">
        <v>741.67</v>
      </c>
      <c r="H742" s="4">
        <v>9</v>
      </c>
      <c r="I742" s="4" t="s">
        <v>14</v>
      </c>
      <c r="J742" s="15">
        <v>8158.37</v>
      </c>
      <c r="K742" s="13">
        <v>7</v>
      </c>
    </row>
    <row r="743" spans="1:198">
      <c r="A743" s="1">
        <f t="shared" si="11"/>
        <v>742</v>
      </c>
      <c r="B743" s="12">
        <v>40253101</v>
      </c>
      <c r="C743" s="4"/>
      <c r="D743" s="13" t="s">
        <v>1134</v>
      </c>
      <c r="E743" s="14"/>
      <c r="F743" s="24" t="s">
        <v>1135</v>
      </c>
      <c r="G743" s="28">
        <v>1.57</v>
      </c>
      <c r="H743" s="4">
        <v>144</v>
      </c>
      <c r="I743" s="4" t="s">
        <v>14</v>
      </c>
      <c r="J743" s="15">
        <v>226.08</v>
      </c>
      <c r="K743" s="13">
        <v>144</v>
      </c>
    </row>
    <row r="744" spans="1:198">
      <c r="A744" s="1">
        <f t="shared" si="11"/>
        <v>743</v>
      </c>
      <c r="B744" s="23">
        <v>40253372</v>
      </c>
      <c r="C744" s="24"/>
      <c r="D744" s="25" t="s">
        <v>1136</v>
      </c>
      <c r="E744" s="26"/>
      <c r="F744" s="24" t="s">
        <v>1135</v>
      </c>
      <c r="G744" s="28">
        <v>3.72</v>
      </c>
      <c r="H744" s="24">
        <v>297</v>
      </c>
      <c r="I744" s="24" t="s">
        <v>14</v>
      </c>
      <c r="J744" s="15">
        <v>1116</v>
      </c>
      <c r="K744" s="25">
        <v>297</v>
      </c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2"/>
      <c r="CA744" s="22"/>
      <c r="CB744" s="22"/>
      <c r="CC744" s="22"/>
      <c r="CD744" s="22"/>
      <c r="CE744" s="22"/>
      <c r="CF744" s="22"/>
      <c r="CG744" s="22"/>
      <c r="CH744" s="22"/>
      <c r="CI744" s="22"/>
      <c r="CJ744" s="22"/>
      <c r="CK744" s="22"/>
      <c r="CL744" s="22"/>
      <c r="CM744" s="22"/>
      <c r="CN744" s="22"/>
      <c r="CO744" s="22"/>
      <c r="CP744" s="22"/>
      <c r="CQ744" s="22"/>
      <c r="CR744" s="22"/>
      <c r="CS744" s="22"/>
      <c r="CT744" s="22"/>
      <c r="CU744" s="22"/>
      <c r="CV744" s="22"/>
      <c r="CW744" s="22"/>
      <c r="CX744" s="22"/>
      <c r="CY744" s="22"/>
      <c r="CZ744" s="22"/>
      <c r="DA744" s="22"/>
      <c r="DB744" s="22"/>
      <c r="DC744" s="22"/>
      <c r="DD744" s="22"/>
      <c r="DE744" s="22"/>
      <c r="DF744" s="22"/>
      <c r="DG744" s="22"/>
      <c r="DH744" s="22"/>
      <c r="DI744" s="22"/>
      <c r="DJ744" s="22"/>
      <c r="DK744" s="22"/>
      <c r="DL744" s="22"/>
      <c r="DM744" s="22"/>
      <c r="DN744" s="22"/>
      <c r="DO744" s="22"/>
      <c r="DP744" s="22"/>
      <c r="DQ744" s="22"/>
      <c r="DR744" s="22"/>
      <c r="DS744" s="22"/>
      <c r="DT744" s="22"/>
      <c r="DU744" s="22"/>
      <c r="DV744" s="22"/>
      <c r="DW744" s="22"/>
      <c r="DX744" s="22"/>
      <c r="DY744" s="22"/>
      <c r="DZ744" s="22"/>
      <c r="EA744" s="22"/>
      <c r="EB744" s="22"/>
      <c r="EC744" s="22"/>
      <c r="ED744" s="22"/>
      <c r="EE744" s="22"/>
      <c r="EF744" s="22"/>
      <c r="EG744" s="22"/>
      <c r="EH744" s="22"/>
      <c r="EI744" s="22"/>
      <c r="EJ744" s="22"/>
      <c r="EK744" s="22"/>
      <c r="EL744" s="22"/>
      <c r="EM744" s="22"/>
      <c r="EN744" s="22"/>
      <c r="EO744" s="22"/>
      <c r="EP744" s="22"/>
      <c r="EQ744" s="22"/>
      <c r="ER744" s="22"/>
      <c r="ES744" s="22"/>
      <c r="ET744" s="22"/>
      <c r="EU744" s="22"/>
      <c r="EV744" s="22"/>
      <c r="EW744" s="22"/>
      <c r="EX744" s="22"/>
      <c r="EY744" s="22"/>
      <c r="EZ744" s="22"/>
      <c r="FA744" s="22"/>
      <c r="FB744" s="22"/>
      <c r="FC744" s="22"/>
      <c r="FD744" s="22"/>
      <c r="FE744" s="22"/>
      <c r="FF744" s="22"/>
      <c r="FG744" s="22"/>
      <c r="FH744" s="22"/>
      <c r="FI744" s="22"/>
      <c r="FJ744" s="22"/>
      <c r="FK744" s="22"/>
      <c r="FL744" s="22"/>
      <c r="FM744" s="22"/>
      <c r="FN744" s="22"/>
      <c r="FO744" s="22"/>
      <c r="FP744" s="22"/>
      <c r="FQ744" s="22"/>
      <c r="FR744" s="22"/>
      <c r="FS744" s="22"/>
      <c r="FT744" s="22"/>
      <c r="FU744" s="22"/>
      <c r="FV744" s="22"/>
      <c r="FW744" s="22"/>
      <c r="FX744" s="22"/>
      <c r="FY744" s="22"/>
      <c r="FZ744" s="22"/>
      <c r="GA744" s="22"/>
      <c r="GB744" s="22"/>
      <c r="GC744" s="22"/>
      <c r="GD744" s="22"/>
      <c r="GE744" s="22"/>
      <c r="GF744" s="22"/>
      <c r="GG744" s="22"/>
      <c r="GH744" s="22"/>
      <c r="GI744" s="22"/>
      <c r="GJ744" s="22"/>
      <c r="GK744" s="22"/>
      <c r="GL744" s="22"/>
      <c r="GM744" s="22"/>
      <c r="GN744" s="22"/>
      <c r="GO744" s="22"/>
      <c r="GP744" s="22"/>
    </row>
    <row r="745" spans="1:198">
      <c r="A745" s="1">
        <f t="shared" si="11"/>
        <v>744</v>
      </c>
      <c r="B745" s="12">
        <v>40693120</v>
      </c>
      <c r="C745" s="4" t="s">
        <v>1137</v>
      </c>
      <c r="D745" s="13" t="s">
        <v>1138</v>
      </c>
      <c r="E745" s="14">
        <v>6212</v>
      </c>
      <c r="F745" s="4" t="s">
        <v>1139</v>
      </c>
      <c r="G745" s="15">
        <v>21.56</v>
      </c>
      <c r="H745" s="4">
        <v>32</v>
      </c>
      <c r="I745" s="4" t="s">
        <v>14</v>
      </c>
      <c r="J745" s="15">
        <v>689.92</v>
      </c>
      <c r="K745" s="13">
        <v>32</v>
      </c>
    </row>
    <row r="746" spans="1:198">
      <c r="A746" s="1">
        <f t="shared" si="11"/>
        <v>745</v>
      </c>
      <c r="B746" s="12">
        <v>40697152</v>
      </c>
      <c r="C746" s="4" t="s">
        <v>1140</v>
      </c>
      <c r="D746" s="13" t="s">
        <v>1141</v>
      </c>
      <c r="E746" s="14" t="s">
        <v>1142</v>
      </c>
      <c r="F746" s="4" t="s">
        <v>1143</v>
      </c>
      <c r="G746" s="15">
        <v>75.72</v>
      </c>
      <c r="H746" s="4">
        <v>4</v>
      </c>
      <c r="I746" s="4" t="s">
        <v>14</v>
      </c>
      <c r="J746" s="15">
        <v>302.88</v>
      </c>
      <c r="K746" s="13">
        <v>4</v>
      </c>
    </row>
    <row r="747" spans="1:198">
      <c r="A747" s="1">
        <f t="shared" si="11"/>
        <v>746</v>
      </c>
      <c r="B747" s="12">
        <v>40697154</v>
      </c>
      <c r="C747" s="4" t="s">
        <v>1144</v>
      </c>
      <c r="D747" s="13" t="s">
        <v>1145</v>
      </c>
      <c r="E747" s="14" t="s">
        <v>1146</v>
      </c>
      <c r="F747" s="4" t="s">
        <v>1147</v>
      </c>
      <c r="G747" s="15">
        <v>82.4</v>
      </c>
      <c r="H747" s="4">
        <v>2</v>
      </c>
      <c r="I747" s="4" t="s">
        <v>14</v>
      </c>
      <c r="J747" s="15">
        <v>164.8</v>
      </c>
      <c r="K747" s="13">
        <v>2</v>
      </c>
    </row>
    <row r="748" spans="1:198">
      <c r="A748" s="1">
        <f t="shared" si="11"/>
        <v>747</v>
      </c>
      <c r="B748" s="12">
        <v>40714002</v>
      </c>
      <c r="C748" s="4"/>
      <c r="D748" s="13" t="s">
        <v>1148</v>
      </c>
      <c r="E748" s="14"/>
      <c r="F748" s="4" t="s">
        <v>1149</v>
      </c>
      <c r="G748" s="15">
        <v>88.78</v>
      </c>
      <c r="H748" s="4">
        <v>9</v>
      </c>
      <c r="I748" s="4" t="s">
        <v>14</v>
      </c>
      <c r="J748" s="15">
        <v>799.02</v>
      </c>
      <c r="K748" s="13">
        <v>9</v>
      </c>
    </row>
    <row r="749" spans="1:198">
      <c r="A749" s="1">
        <f t="shared" si="11"/>
        <v>748</v>
      </c>
      <c r="B749" s="12">
        <v>40116357</v>
      </c>
      <c r="C749" s="4"/>
      <c r="D749" s="13" t="s">
        <v>1150</v>
      </c>
      <c r="E749" s="14"/>
      <c r="F749" s="4" t="s">
        <v>1151</v>
      </c>
      <c r="G749" s="15">
        <v>1643.7166666666701</v>
      </c>
      <c r="H749" s="4">
        <v>3</v>
      </c>
      <c r="I749" s="4" t="s">
        <v>14</v>
      </c>
      <c r="J749" s="15">
        <v>4931.1499999999996</v>
      </c>
      <c r="K749" s="13">
        <v>3</v>
      </c>
    </row>
    <row r="750" spans="1:198">
      <c r="A750" s="1">
        <f t="shared" si="11"/>
        <v>749</v>
      </c>
      <c r="B750" s="12" t="s">
        <v>1152</v>
      </c>
      <c r="C750" s="4"/>
      <c r="D750" s="13" t="s">
        <v>1153</v>
      </c>
      <c r="E750" s="14"/>
      <c r="F750" s="4" t="s">
        <v>1151</v>
      </c>
      <c r="G750" s="15" t="s">
        <v>149</v>
      </c>
      <c r="H750" s="4">
        <v>450</v>
      </c>
      <c r="I750" s="4" t="s">
        <v>14</v>
      </c>
      <c r="J750" s="15"/>
      <c r="K750" s="13">
        <v>450</v>
      </c>
    </row>
    <row r="751" spans="1:198">
      <c r="A751" s="1">
        <f t="shared" si="11"/>
        <v>750</v>
      </c>
      <c r="B751" s="12">
        <v>40116357</v>
      </c>
      <c r="C751" s="4"/>
      <c r="D751" s="13" t="s">
        <v>1150</v>
      </c>
      <c r="E751" s="14"/>
      <c r="F751" s="4" t="s">
        <v>1151</v>
      </c>
      <c r="G751" s="4"/>
      <c r="H751" s="4">
        <v>3</v>
      </c>
      <c r="I751" s="4" t="s">
        <v>14</v>
      </c>
      <c r="J751" s="4"/>
      <c r="K751" s="13">
        <v>0</v>
      </c>
    </row>
    <row r="752" spans="1:198">
      <c r="A752" s="1">
        <f t="shared" si="11"/>
        <v>751</v>
      </c>
      <c r="B752" s="12">
        <v>40627215</v>
      </c>
      <c r="C752" s="4"/>
      <c r="D752" s="13" t="s">
        <v>1154</v>
      </c>
      <c r="E752" s="14"/>
      <c r="F752" s="4" t="s">
        <v>1155</v>
      </c>
      <c r="G752" s="15">
        <v>403.33</v>
      </c>
      <c r="H752" s="4">
        <v>2</v>
      </c>
      <c r="I752" s="4" t="s">
        <v>14</v>
      </c>
      <c r="J752" s="15">
        <v>806.66</v>
      </c>
      <c r="K752" s="13">
        <v>2</v>
      </c>
    </row>
    <row r="753" spans="1:11">
      <c r="A753" s="1">
        <f t="shared" si="11"/>
        <v>752</v>
      </c>
      <c r="B753" s="12">
        <v>40638755</v>
      </c>
      <c r="C753" s="4"/>
      <c r="D753" s="13" t="s">
        <v>1156</v>
      </c>
      <c r="E753" s="14"/>
      <c r="F753" s="4" t="s">
        <v>1157</v>
      </c>
      <c r="G753" s="15">
        <v>250.52</v>
      </c>
      <c r="H753" s="4">
        <v>8</v>
      </c>
      <c r="I753" s="4" t="s">
        <v>14</v>
      </c>
      <c r="J753" s="15">
        <v>2004.16</v>
      </c>
      <c r="K753" s="13">
        <v>8</v>
      </c>
    </row>
    <row r="754" spans="1:11">
      <c r="A754" s="1">
        <f t="shared" si="11"/>
        <v>753</v>
      </c>
      <c r="B754" s="12">
        <v>340602395</v>
      </c>
      <c r="C754" s="4"/>
      <c r="D754" s="13" t="s">
        <v>1158</v>
      </c>
      <c r="E754" s="14"/>
      <c r="F754" s="4" t="s">
        <v>1159</v>
      </c>
      <c r="G754" s="15">
        <v>104.59</v>
      </c>
      <c r="H754" s="4">
        <v>20</v>
      </c>
      <c r="I754" s="4" t="s">
        <v>14</v>
      </c>
      <c r="J754" s="15">
        <v>2091.8000000000002</v>
      </c>
      <c r="K754" s="13">
        <v>20</v>
      </c>
    </row>
    <row r="755" spans="1:11">
      <c r="A755" s="1">
        <f t="shared" si="11"/>
        <v>754</v>
      </c>
      <c r="B755" s="12">
        <v>40136497</v>
      </c>
      <c r="C755" s="4"/>
      <c r="D755" s="13" t="s">
        <v>1160</v>
      </c>
      <c r="E755" s="14"/>
      <c r="F755" s="4" t="s">
        <v>1161</v>
      </c>
      <c r="G755" s="15" t="s">
        <v>149</v>
      </c>
      <c r="H755" s="4">
        <v>2</v>
      </c>
      <c r="I755" s="4" t="s">
        <v>14</v>
      </c>
      <c r="J755" s="15" t="s">
        <v>149</v>
      </c>
      <c r="K755" s="13">
        <v>2</v>
      </c>
    </row>
    <row r="756" spans="1:11">
      <c r="A756" s="1">
        <f t="shared" si="11"/>
        <v>755</v>
      </c>
      <c r="B756" s="12" t="s">
        <v>1162</v>
      </c>
      <c r="C756" s="4"/>
      <c r="D756" s="13" t="s">
        <v>1163</v>
      </c>
      <c r="E756" s="14"/>
      <c r="F756" s="4" t="s">
        <v>1164</v>
      </c>
      <c r="G756" s="15" t="s">
        <v>149</v>
      </c>
      <c r="H756" s="4">
        <v>1</v>
      </c>
      <c r="I756" s="4" t="s">
        <v>14</v>
      </c>
      <c r="J756" s="15" t="s">
        <v>149</v>
      </c>
      <c r="K756" s="13">
        <v>1</v>
      </c>
    </row>
    <row r="757" spans="1:11">
      <c r="A757" s="1">
        <f t="shared" si="11"/>
        <v>756</v>
      </c>
      <c r="B757" s="12">
        <v>40697151</v>
      </c>
      <c r="C757" s="4" t="s">
        <v>1165</v>
      </c>
      <c r="D757" s="13" t="s">
        <v>1166</v>
      </c>
      <c r="E757" s="14" t="s">
        <v>1167</v>
      </c>
      <c r="F757" s="4" t="s">
        <v>1168</v>
      </c>
      <c r="G757" s="15">
        <v>54.47</v>
      </c>
      <c r="H757" s="4">
        <v>2</v>
      </c>
      <c r="I757" s="4" t="s">
        <v>14</v>
      </c>
      <c r="J757" s="15">
        <v>108.94</v>
      </c>
      <c r="K757" s="13">
        <v>2</v>
      </c>
    </row>
    <row r="758" spans="1:11">
      <c r="A758" s="1">
        <f t="shared" si="11"/>
        <v>757</v>
      </c>
      <c r="B758" s="12">
        <v>40697150</v>
      </c>
      <c r="C758" s="4" t="s">
        <v>1169</v>
      </c>
      <c r="D758" s="13" t="s">
        <v>1170</v>
      </c>
      <c r="E758" s="14" t="s">
        <v>1171</v>
      </c>
      <c r="F758" s="4" t="s">
        <v>1172</v>
      </c>
      <c r="G758" s="15">
        <v>52.09</v>
      </c>
      <c r="H758" s="4">
        <v>3</v>
      </c>
      <c r="I758" s="4" t="s">
        <v>14</v>
      </c>
      <c r="J758" s="15">
        <v>156.27000000000001</v>
      </c>
      <c r="K758" s="13">
        <v>3</v>
      </c>
    </row>
    <row r="759" spans="1:11">
      <c r="A759" s="1">
        <f t="shared" si="11"/>
        <v>758</v>
      </c>
      <c r="B759" s="12">
        <v>40697158</v>
      </c>
      <c r="C759" s="4" t="s">
        <v>1173</v>
      </c>
      <c r="D759" s="13" t="s">
        <v>1174</v>
      </c>
      <c r="E759" s="14" t="s">
        <v>1175</v>
      </c>
      <c r="F759" s="4" t="s">
        <v>1176</v>
      </c>
      <c r="G759" s="15">
        <v>530.6</v>
      </c>
      <c r="H759" s="4">
        <v>3</v>
      </c>
      <c r="I759" s="4" t="s">
        <v>14</v>
      </c>
      <c r="J759" s="15">
        <v>1591.8</v>
      </c>
      <c r="K759" s="13">
        <v>3</v>
      </c>
    </row>
    <row r="760" spans="1:11">
      <c r="A760" s="1">
        <f t="shared" si="11"/>
        <v>759</v>
      </c>
      <c r="B760" s="12">
        <v>40697103</v>
      </c>
      <c r="C760" s="4" t="s">
        <v>1177</v>
      </c>
      <c r="D760" s="13" t="s">
        <v>1178</v>
      </c>
      <c r="E760" s="14" t="s">
        <v>1179</v>
      </c>
      <c r="F760" s="4" t="s">
        <v>1180</v>
      </c>
      <c r="G760" s="15">
        <v>427.1</v>
      </c>
      <c r="H760" s="4">
        <v>3</v>
      </c>
      <c r="I760" s="4" t="s">
        <v>14</v>
      </c>
      <c r="J760" s="15">
        <v>1281.3</v>
      </c>
      <c r="K760" s="13">
        <v>3</v>
      </c>
    </row>
    <row r="761" spans="1:11">
      <c r="A761" s="1">
        <f t="shared" si="11"/>
        <v>760</v>
      </c>
      <c r="B761" s="12">
        <v>40697161</v>
      </c>
      <c r="C761" s="4" t="s">
        <v>1181</v>
      </c>
      <c r="D761" s="13" t="s">
        <v>1182</v>
      </c>
      <c r="E761" s="14" t="s">
        <v>1183</v>
      </c>
      <c r="F761" s="4" t="s">
        <v>1184</v>
      </c>
      <c r="G761" s="15">
        <v>466.12</v>
      </c>
      <c r="H761" s="4">
        <v>4</v>
      </c>
      <c r="I761" s="4" t="s">
        <v>14</v>
      </c>
      <c r="J761" s="15">
        <v>1864.48</v>
      </c>
      <c r="K761" s="13">
        <v>4</v>
      </c>
    </row>
    <row r="762" spans="1:11">
      <c r="A762" s="1">
        <f t="shared" si="11"/>
        <v>761</v>
      </c>
      <c r="B762" s="12">
        <v>40676190</v>
      </c>
      <c r="C762" s="4"/>
      <c r="D762" s="13" t="s">
        <v>1185</v>
      </c>
      <c r="E762" s="14"/>
      <c r="F762" s="4" t="s">
        <v>1186</v>
      </c>
      <c r="G762" s="15">
        <v>607.02</v>
      </c>
      <c r="H762" s="4">
        <v>9</v>
      </c>
      <c r="I762" s="4" t="s">
        <v>14</v>
      </c>
      <c r="J762" s="15">
        <v>5463.18</v>
      </c>
      <c r="K762" s="13">
        <v>9</v>
      </c>
    </row>
    <row r="763" spans="1:11">
      <c r="A763" s="1">
        <f t="shared" si="11"/>
        <v>762</v>
      </c>
      <c r="B763" s="12" t="s">
        <v>1187</v>
      </c>
      <c r="C763" s="4"/>
      <c r="D763" s="13" t="s">
        <v>1082</v>
      </c>
      <c r="E763" s="14"/>
      <c r="F763" s="4" t="s">
        <v>1186</v>
      </c>
      <c r="G763" s="15" t="s">
        <v>149</v>
      </c>
      <c r="H763" s="4">
        <v>350</v>
      </c>
      <c r="I763" s="4" t="s">
        <v>14</v>
      </c>
      <c r="J763" s="15"/>
      <c r="K763" s="13">
        <v>350</v>
      </c>
    </row>
    <row r="764" spans="1:11">
      <c r="A764" s="1">
        <f t="shared" si="11"/>
        <v>763</v>
      </c>
      <c r="B764" s="12">
        <v>160601332</v>
      </c>
      <c r="C764" s="4"/>
      <c r="D764" s="13" t="s">
        <v>1188</v>
      </c>
      <c r="E764" s="14"/>
      <c r="F764" s="4" t="s">
        <v>1189</v>
      </c>
      <c r="G764" s="15">
        <v>779.03</v>
      </c>
      <c r="H764" s="4">
        <v>4</v>
      </c>
      <c r="I764" s="4" t="s">
        <v>14</v>
      </c>
      <c r="J764" s="15">
        <v>779.03</v>
      </c>
      <c r="K764" s="13">
        <v>4</v>
      </c>
    </row>
    <row r="765" spans="1:11">
      <c r="A765" s="1">
        <f t="shared" si="11"/>
        <v>764</v>
      </c>
      <c r="B765" s="12" t="s">
        <v>1190</v>
      </c>
      <c r="C765" s="4"/>
      <c r="D765" s="13" t="s">
        <v>1191</v>
      </c>
      <c r="E765" s="14"/>
      <c r="F765" s="4" t="s">
        <v>1189</v>
      </c>
      <c r="G765" s="15" t="s">
        <v>149</v>
      </c>
      <c r="H765" s="4">
        <v>4</v>
      </c>
      <c r="I765" s="4" t="s">
        <v>14</v>
      </c>
      <c r="J765" s="15" t="s">
        <v>149</v>
      </c>
      <c r="K765" s="13">
        <v>4</v>
      </c>
    </row>
    <row r="766" spans="1:11">
      <c r="A766" s="1">
        <f t="shared" si="11"/>
        <v>765</v>
      </c>
      <c r="B766" s="12">
        <v>40708841</v>
      </c>
      <c r="C766" s="4"/>
      <c r="D766" s="13" t="s">
        <v>1192</v>
      </c>
      <c r="E766" s="14"/>
      <c r="F766" s="4" t="s">
        <v>1193</v>
      </c>
      <c r="G766" s="15" t="s">
        <v>149</v>
      </c>
      <c r="H766" s="4">
        <v>1</v>
      </c>
      <c r="I766" s="4" t="s">
        <v>14</v>
      </c>
      <c r="J766" s="15" t="s">
        <v>149</v>
      </c>
      <c r="K766" s="13">
        <v>1</v>
      </c>
    </row>
    <row r="767" spans="1:11">
      <c r="A767" s="1">
        <f t="shared" si="11"/>
        <v>766</v>
      </c>
      <c r="B767" s="12" t="s">
        <v>1194</v>
      </c>
      <c r="C767" s="4"/>
      <c r="D767" s="13" t="s">
        <v>1192</v>
      </c>
      <c r="E767" s="14"/>
      <c r="F767" s="4" t="s">
        <v>1195</v>
      </c>
      <c r="G767" s="15" t="s">
        <v>149</v>
      </c>
      <c r="H767" s="4">
        <v>2</v>
      </c>
      <c r="I767" s="4" t="s">
        <v>14</v>
      </c>
      <c r="J767" s="15" t="s">
        <v>149</v>
      </c>
      <c r="K767" s="13">
        <v>2</v>
      </c>
    </row>
    <row r="768" spans="1:11">
      <c r="A768" s="1">
        <f t="shared" si="11"/>
        <v>767</v>
      </c>
      <c r="B768" s="12" t="s">
        <v>1196</v>
      </c>
      <c r="C768" s="4"/>
      <c r="D768" s="13" t="s">
        <v>1197</v>
      </c>
      <c r="E768" s="14"/>
      <c r="F768" s="4" t="s">
        <v>1198</v>
      </c>
      <c r="G768" s="15" t="s">
        <v>149</v>
      </c>
      <c r="H768" s="4">
        <v>4</v>
      </c>
      <c r="I768" s="4" t="s">
        <v>14</v>
      </c>
      <c r="J768" s="15" t="s">
        <v>149</v>
      </c>
      <c r="K768" s="13">
        <v>4</v>
      </c>
    </row>
    <row r="769" spans="1:11">
      <c r="A769" s="1">
        <f t="shared" si="11"/>
        <v>768</v>
      </c>
      <c r="B769" s="12" t="s">
        <v>1199</v>
      </c>
      <c r="C769" s="4"/>
      <c r="D769" s="13" t="s">
        <v>1200</v>
      </c>
      <c r="E769" s="14"/>
      <c r="F769" s="4" t="s">
        <v>1198</v>
      </c>
      <c r="G769" s="15" t="s">
        <v>149</v>
      </c>
      <c r="H769" s="4">
        <v>4</v>
      </c>
      <c r="I769" s="4" t="s">
        <v>14</v>
      </c>
      <c r="J769" s="15" t="s">
        <v>149</v>
      </c>
      <c r="K769" s="13">
        <v>4</v>
      </c>
    </row>
    <row r="770" spans="1:11">
      <c r="A770" s="1">
        <f t="shared" ref="A770:A776" si="12">ROW()-1</f>
        <v>769</v>
      </c>
      <c r="B770" s="12">
        <v>331200241</v>
      </c>
      <c r="C770" s="4"/>
      <c r="D770" s="13" t="s">
        <v>1201</v>
      </c>
      <c r="E770" s="14"/>
      <c r="F770" s="4" t="s">
        <v>1202</v>
      </c>
      <c r="G770" s="4"/>
      <c r="H770" s="4">
        <v>500</v>
      </c>
      <c r="I770" s="4" t="s">
        <v>14</v>
      </c>
      <c r="J770" s="4"/>
      <c r="K770" s="13">
        <v>500</v>
      </c>
    </row>
    <row r="771" spans="1:11">
      <c r="A771" s="1">
        <f t="shared" si="12"/>
        <v>770</v>
      </c>
      <c r="B771" s="12" t="s">
        <v>1203</v>
      </c>
      <c r="C771" s="4"/>
      <c r="D771" s="13" t="s">
        <v>1204</v>
      </c>
      <c r="E771" s="14"/>
      <c r="F771" s="4" t="s">
        <v>1202</v>
      </c>
      <c r="G771" s="4"/>
      <c r="H771" s="4">
        <v>360</v>
      </c>
      <c r="I771" s="4" t="s">
        <v>14</v>
      </c>
      <c r="J771" s="4"/>
      <c r="K771" s="13">
        <v>360</v>
      </c>
    </row>
    <row r="772" spans="1:11">
      <c r="A772" s="1">
        <f t="shared" si="12"/>
        <v>771</v>
      </c>
      <c r="B772" s="12" t="s">
        <v>1205</v>
      </c>
      <c r="C772" s="4"/>
      <c r="D772" s="13" t="s">
        <v>1064</v>
      </c>
      <c r="E772" s="14"/>
      <c r="F772" s="4" t="s">
        <v>1206</v>
      </c>
      <c r="G772" s="15" t="s">
        <v>149</v>
      </c>
      <c r="H772" s="4">
        <v>80</v>
      </c>
      <c r="I772" s="4" t="s">
        <v>14</v>
      </c>
      <c r="J772" s="15" t="s">
        <v>149</v>
      </c>
      <c r="K772" s="13">
        <v>80</v>
      </c>
    </row>
    <row r="773" spans="1:11">
      <c r="A773" s="1">
        <f t="shared" si="12"/>
        <v>772</v>
      </c>
      <c r="B773" s="12" t="s">
        <v>1207</v>
      </c>
      <c r="C773" s="4"/>
      <c r="D773" s="13" t="s">
        <v>1208</v>
      </c>
      <c r="E773" s="14"/>
      <c r="F773" s="4" t="s">
        <v>1209</v>
      </c>
      <c r="G773" s="15" t="s">
        <v>149</v>
      </c>
      <c r="H773" s="4">
        <v>1150</v>
      </c>
      <c r="I773" s="4" t="s">
        <v>14</v>
      </c>
      <c r="J773" s="15" t="s">
        <v>149</v>
      </c>
      <c r="K773" s="13">
        <v>1150</v>
      </c>
    </row>
    <row r="774" spans="1:11">
      <c r="A774" s="1">
        <f t="shared" si="12"/>
        <v>773</v>
      </c>
      <c r="B774" s="12">
        <v>40788494</v>
      </c>
      <c r="C774" s="4"/>
      <c r="D774" s="13" t="s">
        <v>1210</v>
      </c>
      <c r="E774" s="14"/>
      <c r="F774" s="4" t="s">
        <v>1211</v>
      </c>
      <c r="G774" s="15">
        <v>0.23</v>
      </c>
      <c r="H774" s="4">
        <v>640</v>
      </c>
      <c r="I774" s="4" t="s">
        <v>14</v>
      </c>
      <c r="J774" s="15">
        <v>158.69999999999999</v>
      </c>
      <c r="K774" s="13">
        <v>640</v>
      </c>
    </row>
    <row r="775" spans="1:11">
      <c r="A775" s="1">
        <f t="shared" si="12"/>
        <v>774</v>
      </c>
      <c r="B775" s="12">
        <v>40781256</v>
      </c>
      <c r="C775" s="4"/>
      <c r="D775" s="13" t="s">
        <v>1212</v>
      </c>
      <c r="E775" s="14"/>
      <c r="F775" s="4" t="s">
        <v>1213</v>
      </c>
      <c r="G775" s="4"/>
      <c r="H775" s="4">
        <v>400</v>
      </c>
      <c r="I775" s="4" t="s">
        <v>14</v>
      </c>
      <c r="J775" s="4"/>
      <c r="K775" s="13">
        <v>400</v>
      </c>
    </row>
    <row r="776" spans="1:11">
      <c r="A776" s="1">
        <f t="shared" si="12"/>
        <v>775</v>
      </c>
      <c r="B776" s="12" t="s">
        <v>1214</v>
      </c>
      <c r="C776" s="4"/>
      <c r="D776" s="13" t="s">
        <v>1215</v>
      </c>
      <c r="E776" s="14"/>
      <c r="F776" s="4" t="s">
        <v>1213</v>
      </c>
      <c r="G776" s="4"/>
      <c r="H776" s="4">
        <v>300</v>
      </c>
      <c r="I776" s="4" t="s">
        <v>14</v>
      </c>
      <c r="J776" s="4"/>
      <c r="K776" s="13">
        <v>300</v>
      </c>
    </row>
    <row r="777" spans="1:11">
      <c r="F777"/>
    </row>
    <row r="778" spans="1:11">
      <c r="F778"/>
    </row>
    <row r="779" spans="1:11">
      <c r="F779"/>
    </row>
    <row r="780" spans="1:11">
      <c r="F780"/>
    </row>
    <row r="781" spans="1:11">
      <c r="F781"/>
    </row>
  </sheetData>
  <autoFilter ref="B1:GP776"/>
  <pageMargins left="0.75138888888888899" right="0.75138888888888899" top="1" bottom="1" header="0.5" footer="0.5"/>
  <pageSetup paperSize="9" scale="1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M787"/>
  <sheetViews>
    <sheetView tabSelected="1" topLeftCell="A740" zoomScale="91" workbookViewId="0">
      <selection activeCell="A740" sqref="A1:A1048576"/>
    </sheetView>
  </sheetViews>
  <sheetFormatPr defaultColWidth="9.85546875" defaultRowHeight="15"/>
  <cols>
    <col min="1" max="1" width="7" style="29" customWidth="1"/>
    <col min="2" max="2" width="18.7109375" style="29" customWidth="1"/>
    <col min="3" max="3" width="18" style="29" customWidth="1"/>
    <col min="4" max="4" width="50" style="29" customWidth="1"/>
    <col min="5" max="5" width="52.5703125" style="30" customWidth="1"/>
    <col min="6" max="6" width="24.85546875" style="29" customWidth="1"/>
    <col min="7" max="7" width="11" style="29" customWidth="1"/>
    <col min="8" max="8" width="21" style="31" customWidth="1"/>
    <col min="9" max="9" width="18.85546875" style="31" customWidth="1"/>
    <col min="10" max="10" width="7.85546875" style="29" customWidth="1"/>
    <col min="11" max="11" width="12.140625" style="32" customWidth="1"/>
    <col min="12" max="13" width="9.85546875" style="29"/>
    <col min="14" max="14" width="27.5703125" style="29" customWidth="1"/>
    <col min="15" max="15" width="9.85546875" style="29"/>
    <col min="16" max="16" width="44.5703125" style="29" customWidth="1"/>
    <col min="17" max="17" width="42.28515625" style="29" customWidth="1"/>
    <col min="18" max="16384" width="9.85546875" style="29"/>
  </cols>
  <sheetData>
    <row r="2" spans="1:11" ht="20.100000000000001" customHeight="1">
      <c r="A2" s="33" t="s">
        <v>1216</v>
      </c>
      <c r="B2" s="34" t="s">
        <v>1217</v>
      </c>
      <c r="C2" s="34" t="s">
        <v>1218</v>
      </c>
      <c r="D2" s="34" t="s">
        <v>1219</v>
      </c>
      <c r="E2" s="6" t="s">
        <v>1</v>
      </c>
      <c r="F2" s="34" t="s">
        <v>3</v>
      </c>
      <c r="G2" s="34" t="s">
        <v>6</v>
      </c>
      <c r="H2" s="35" t="s">
        <v>1220</v>
      </c>
      <c r="I2" s="35" t="s">
        <v>1221</v>
      </c>
      <c r="J2" s="34" t="s">
        <v>1222</v>
      </c>
      <c r="K2" s="36" t="s">
        <v>9</v>
      </c>
    </row>
    <row r="3" spans="1:11" ht="20.100000000000001" customHeight="1">
      <c r="A3" s="37">
        <v>1</v>
      </c>
      <c r="B3" s="38" t="s">
        <v>1223</v>
      </c>
      <c r="C3" s="38">
        <v>40703899</v>
      </c>
      <c r="D3" s="38" t="s">
        <v>1224</v>
      </c>
      <c r="E3" s="38"/>
      <c r="F3" s="38"/>
      <c r="G3" s="38">
        <v>1</v>
      </c>
      <c r="H3" s="39">
        <f>VLOOKUP(C3,[1]Sheet4!$B$2:$H$344,7,FALSE)</f>
        <v>458.95</v>
      </c>
      <c r="I3" s="39">
        <f t="shared" ref="I3:I10" si="0">H3*G3</f>
        <v>458.95</v>
      </c>
      <c r="J3" s="38" t="s">
        <v>14</v>
      </c>
      <c r="K3" s="40">
        <v>1</v>
      </c>
    </row>
    <row r="4" spans="1:11" ht="20.100000000000001" customHeight="1">
      <c r="A4" s="41">
        <v>2</v>
      </c>
      <c r="B4" s="42" t="s">
        <v>1223</v>
      </c>
      <c r="C4" s="42"/>
      <c r="D4" s="42" t="s">
        <v>1225</v>
      </c>
      <c r="E4" s="42"/>
      <c r="F4" s="42"/>
      <c r="G4" s="42">
        <v>23</v>
      </c>
      <c r="H4" s="43"/>
      <c r="I4" s="43">
        <f t="shared" si="0"/>
        <v>0</v>
      </c>
      <c r="J4" s="42" t="s">
        <v>14</v>
      </c>
      <c r="K4" s="44">
        <v>0</v>
      </c>
    </row>
    <row r="5" spans="1:11" ht="20.100000000000001" customHeight="1">
      <c r="A5" s="37">
        <v>3</v>
      </c>
      <c r="B5" s="42" t="s">
        <v>1223</v>
      </c>
      <c r="C5" s="42"/>
      <c r="D5" s="42" t="s">
        <v>1226</v>
      </c>
      <c r="E5" s="42"/>
      <c r="F5" s="42"/>
      <c r="G5" s="42">
        <v>32</v>
      </c>
      <c r="H5" s="43"/>
      <c r="I5" s="43">
        <f t="shared" si="0"/>
        <v>0</v>
      </c>
      <c r="J5" s="42" t="s">
        <v>14</v>
      </c>
      <c r="K5" s="44">
        <v>0</v>
      </c>
    </row>
    <row r="6" spans="1:11" ht="20.100000000000001" customHeight="1">
      <c r="A6" s="41">
        <v>4</v>
      </c>
      <c r="B6" s="42" t="s">
        <v>1223</v>
      </c>
      <c r="C6" s="42" t="s">
        <v>1227</v>
      </c>
      <c r="D6" s="42"/>
      <c r="E6" s="42"/>
      <c r="F6" s="42"/>
      <c r="G6" s="42">
        <v>4</v>
      </c>
      <c r="H6" s="43"/>
      <c r="I6" s="43">
        <f t="shared" si="0"/>
        <v>0</v>
      </c>
      <c r="J6" s="42" t="s">
        <v>14</v>
      </c>
      <c r="K6" s="44"/>
    </row>
    <row r="7" spans="1:11" ht="20.100000000000001" customHeight="1">
      <c r="A7" s="37">
        <v>5</v>
      </c>
      <c r="B7" s="42" t="s">
        <v>1223</v>
      </c>
      <c r="C7" s="45">
        <v>40130238</v>
      </c>
      <c r="D7" s="45" t="s">
        <v>1228</v>
      </c>
      <c r="E7" s="42"/>
      <c r="F7" s="46"/>
      <c r="G7" s="42">
        <v>9</v>
      </c>
      <c r="H7" s="43">
        <f>VLOOKUP(C7,[1]Sheet4!$B$2:$H$344,7,FALSE)</f>
        <v>1510.98</v>
      </c>
      <c r="I7" s="43">
        <f t="shared" si="0"/>
        <v>13598.82</v>
      </c>
      <c r="J7" s="45" t="s">
        <v>14</v>
      </c>
      <c r="K7" s="44">
        <v>9</v>
      </c>
    </row>
    <row r="8" spans="1:11" ht="20.100000000000001" customHeight="1">
      <c r="A8" s="41">
        <v>6</v>
      </c>
      <c r="B8" s="42" t="s">
        <v>1223</v>
      </c>
      <c r="C8" s="45">
        <v>40635849</v>
      </c>
      <c r="D8" s="45" t="s">
        <v>1229</v>
      </c>
      <c r="E8" s="42"/>
      <c r="F8" s="46"/>
      <c r="G8" s="42">
        <v>15</v>
      </c>
      <c r="H8" s="43">
        <f>VLOOKUP(C8,[1]Sheet4!$B$2:$H$344,7,FALSE)</f>
        <v>265.57</v>
      </c>
      <c r="I8" s="43">
        <f t="shared" si="0"/>
        <v>3983.5499999999997</v>
      </c>
      <c r="J8" s="45" t="s">
        <v>14</v>
      </c>
      <c r="K8" s="44">
        <v>14</v>
      </c>
    </row>
    <row r="9" spans="1:11" ht="20.100000000000001" customHeight="1">
      <c r="A9" s="37">
        <v>7</v>
      </c>
      <c r="B9" s="42" t="s">
        <v>1223</v>
      </c>
      <c r="C9" s="45">
        <v>170100012</v>
      </c>
      <c r="D9" s="45" t="s">
        <v>1230</v>
      </c>
      <c r="E9" s="42"/>
      <c r="F9" s="46"/>
      <c r="G9" s="42">
        <v>981</v>
      </c>
      <c r="H9" s="43">
        <f>VLOOKUP(C9,[1]Sheet4!$B$2:$H$344,7,FALSE)</f>
        <v>0.57999999999999996</v>
      </c>
      <c r="I9" s="43">
        <f t="shared" si="0"/>
        <v>568.9799999999999</v>
      </c>
      <c r="J9" s="45" t="s">
        <v>14</v>
      </c>
      <c r="K9" s="44"/>
    </row>
    <row r="10" spans="1:11" ht="20.100000000000001" customHeight="1">
      <c r="A10" s="41">
        <v>8</v>
      </c>
      <c r="B10" s="42" t="s">
        <v>1223</v>
      </c>
      <c r="C10" s="45">
        <v>40686977</v>
      </c>
      <c r="D10" s="45" t="s">
        <v>1231</v>
      </c>
      <c r="E10" s="42"/>
      <c r="F10" s="46"/>
      <c r="G10" s="42">
        <v>7</v>
      </c>
      <c r="H10" s="47">
        <v>19.11</v>
      </c>
      <c r="I10" s="47">
        <f t="shared" si="0"/>
        <v>133.76999999999998</v>
      </c>
      <c r="J10" s="45" t="s">
        <v>14</v>
      </c>
      <c r="K10" s="44">
        <v>7</v>
      </c>
    </row>
    <row r="11" spans="1:11" ht="20.100000000000001" customHeight="1">
      <c r="A11" s="37">
        <v>9</v>
      </c>
      <c r="B11" s="42" t="s">
        <v>1223</v>
      </c>
      <c r="C11" s="45" t="s">
        <v>1232</v>
      </c>
      <c r="D11" s="45"/>
      <c r="E11" s="42"/>
      <c r="F11" s="46"/>
      <c r="G11" s="42">
        <v>5</v>
      </c>
      <c r="H11" s="47"/>
      <c r="I11" s="47"/>
      <c r="J11" s="45" t="s">
        <v>14</v>
      </c>
      <c r="K11" s="44">
        <v>5</v>
      </c>
    </row>
    <row r="12" spans="1:11" ht="20.100000000000001" customHeight="1">
      <c r="A12" s="41">
        <v>10</v>
      </c>
      <c r="B12" s="42" t="s">
        <v>1223</v>
      </c>
      <c r="C12" s="48">
        <v>1631043500</v>
      </c>
      <c r="D12" s="45" t="s">
        <v>1233</v>
      </c>
      <c r="E12" s="42"/>
      <c r="F12" s="46"/>
      <c r="G12" s="42">
        <v>2</v>
      </c>
      <c r="H12" s="47"/>
      <c r="I12" s="47"/>
      <c r="J12" s="45" t="s">
        <v>14</v>
      </c>
      <c r="K12" s="44">
        <v>2</v>
      </c>
    </row>
    <row r="13" spans="1:11" ht="20.100000000000001" customHeight="1">
      <c r="A13" s="37">
        <v>11</v>
      </c>
      <c r="B13" s="42" t="s">
        <v>1223</v>
      </c>
      <c r="C13" s="48">
        <v>23429822</v>
      </c>
      <c r="D13" s="45" t="s">
        <v>1233</v>
      </c>
      <c r="E13" s="42"/>
      <c r="F13" s="46"/>
      <c r="G13" s="42">
        <v>1</v>
      </c>
      <c r="H13" s="47"/>
      <c r="I13" s="47"/>
      <c r="J13" s="45" t="s">
        <v>14</v>
      </c>
      <c r="K13" s="44">
        <v>1</v>
      </c>
    </row>
    <row r="14" spans="1:11" ht="20.100000000000001" customHeight="1">
      <c r="A14" s="41">
        <v>12</v>
      </c>
      <c r="B14" s="42" t="s">
        <v>1223</v>
      </c>
      <c r="C14" s="45" t="s">
        <v>1234</v>
      </c>
      <c r="D14" s="45" t="s">
        <v>1233</v>
      </c>
      <c r="E14" s="42"/>
      <c r="F14" s="46"/>
      <c r="G14" s="42">
        <v>1</v>
      </c>
      <c r="H14" s="47"/>
      <c r="I14" s="47"/>
      <c r="J14" s="45" t="s">
        <v>14</v>
      </c>
      <c r="K14" s="44">
        <v>1</v>
      </c>
    </row>
    <row r="15" spans="1:11" ht="20.100000000000001" customHeight="1">
      <c r="A15" s="37">
        <v>13</v>
      </c>
      <c r="B15" s="42" t="s">
        <v>1223</v>
      </c>
      <c r="C15" s="45" t="s">
        <v>1235</v>
      </c>
      <c r="D15" s="45" t="s">
        <v>1236</v>
      </c>
      <c r="E15" s="42"/>
      <c r="F15" s="46"/>
      <c r="G15" s="42">
        <v>2</v>
      </c>
      <c r="H15" s="47"/>
      <c r="I15" s="47"/>
      <c r="J15" s="45" t="s">
        <v>14</v>
      </c>
      <c r="K15" s="44">
        <v>2</v>
      </c>
    </row>
    <row r="16" spans="1:11" ht="20.100000000000001" customHeight="1">
      <c r="A16" s="41">
        <v>14</v>
      </c>
      <c r="B16" s="42" t="s">
        <v>1237</v>
      </c>
      <c r="C16" s="42">
        <v>40678840</v>
      </c>
      <c r="D16" s="42" t="s">
        <v>1238</v>
      </c>
      <c r="E16" s="42" t="s">
        <v>1239</v>
      </c>
      <c r="F16" s="42"/>
      <c r="G16" s="42">
        <v>13</v>
      </c>
      <c r="H16" s="43">
        <v>21.81</v>
      </c>
      <c r="I16" s="43">
        <f t="shared" ref="I16:I79" si="1">H16*G16</f>
        <v>283.52999999999997</v>
      </c>
      <c r="J16" s="42" t="s">
        <v>14</v>
      </c>
      <c r="K16" s="44">
        <v>13</v>
      </c>
    </row>
    <row r="17" spans="1:16" ht="20.100000000000001" customHeight="1">
      <c r="A17" s="37">
        <v>15</v>
      </c>
      <c r="B17" s="42" t="s">
        <v>1240</v>
      </c>
      <c r="C17" s="42">
        <v>40678839</v>
      </c>
      <c r="D17" s="42" t="s">
        <v>1241</v>
      </c>
      <c r="E17" s="42" t="s">
        <v>1242</v>
      </c>
      <c r="F17" s="42"/>
      <c r="G17" s="42">
        <v>10</v>
      </c>
      <c r="H17" s="43">
        <v>8.59</v>
      </c>
      <c r="I17" s="43">
        <f t="shared" si="1"/>
        <v>85.9</v>
      </c>
      <c r="J17" s="42" t="s">
        <v>14</v>
      </c>
      <c r="K17" s="44">
        <v>10</v>
      </c>
    </row>
    <row r="18" spans="1:16" ht="20.100000000000001" customHeight="1">
      <c r="A18" s="41">
        <v>16</v>
      </c>
      <c r="B18" s="42" t="s">
        <v>1243</v>
      </c>
      <c r="C18" s="42">
        <v>40248617</v>
      </c>
      <c r="D18" s="42" t="s">
        <v>1244</v>
      </c>
      <c r="E18" s="42" t="s">
        <v>1245</v>
      </c>
      <c r="F18" s="42" t="s">
        <v>1246</v>
      </c>
      <c r="G18" s="42">
        <v>2</v>
      </c>
      <c r="H18" s="43">
        <v>469.8</v>
      </c>
      <c r="I18" s="43">
        <f t="shared" si="1"/>
        <v>939.6</v>
      </c>
      <c r="J18" s="42" t="s">
        <v>14</v>
      </c>
      <c r="K18" s="44">
        <v>2</v>
      </c>
    </row>
    <row r="19" spans="1:16" ht="20.100000000000001" customHeight="1">
      <c r="A19" s="37">
        <v>17</v>
      </c>
      <c r="B19" s="42" t="s">
        <v>1247</v>
      </c>
      <c r="C19" s="42">
        <v>40727170</v>
      </c>
      <c r="D19" s="42" t="s">
        <v>1248</v>
      </c>
      <c r="E19" s="42" t="s">
        <v>1249</v>
      </c>
      <c r="F19" s="42"/>
      <c r="G19" s="42">
        <v>3</v>
      </c>
      <c r="H19" s="43">
        <v>69.7</v>
      </c>
      <c r="I19" s="43">
        <f t="shared" si="1"/>
        <v>209.10000000000002</v>
      </c>
      <c r="J19" s="42" t="s">
        <v>14</v>
      </c>
      <c r="K19" s="44">
        <v>3</v>
      </c>
    </row>
    <row r="20" spans="1:16" ht="20.100000000000001" customHeight="1">
      <c r="A20" s="41">
        <v>18</v>
      </c>
      <c r="B20" s="42" t="s">
        <v>1250</v>
      </c>
      <c r="C20" s="45">
        <v>40780155</v>
      </c>
      <c r="D20" s="45" t="s">
        <v>1251</v>
      </c>
      <c r="E20" s="42"/>
      <c r="F20" s="46"/>
      <c r="G20" s="42">
        <v>22</v>
      </c>
      <c r="H20" s="43">
        <f>VLOOKUP(C20,[1]Sheet4!$B$2:$H$344,7,FALSE)</f>
        <v>6.38</v>
      </c>
      <c r="I20" s="43">
        <f t="shared" si="1"/>
        <v>140.35999999999999</v>
      </c>
      <c r="J20" s="45" t="s">
        <v>14</v>
      </c>
      <c r="K20" s="44">
        <v>22</v>
      </c>
    </row>
    <row r="21" spans="1:16" ht="20.100000000000001" customHeight="1">
      <c r="A21" s="37">
        <v>19</v>
      </c>
      <c r="B21" s="42" t="s">
        <v>1252</v>
      </c>
      <c r="C21" s="42">
        <v>40779830</v>
      </c>
      <c r="D21" s="42" t="s">
        <v>1253</v>
      </c>
      <c r="E21" s="42" t="s">
        <v>1254</v>
      </c>
      <c r="F21" s="42"/>
      <c r="G21" s="42">
        <v>5</v>
      </c>
      <c r="H21" s="43">
        <v>119.5</v>
      </c>
      <c r="I21" s="43">
        <f t="shared" si="1"/>
        <v>597.5</v>
      </c>
      <c r="J21" s="42" t="s">
        <v>59</v>
      </c>
      <c r="K21" s="44">
        <v>5</v>
      </c>
      <c r="P21" s="49"/>
    </row>
    <row r="22" spans="1:16" ht="20.100000000000001" customHeight="1">
      <c r="A22" s="41">
        <v>20</v>
      </c>
      <c r="B22" s="42" t="s">
        <v>1255</v>
      </c>
      <c r="C22" s="45">
        <v>40757808</v>
      </c>
      <c r="D22" s="45" t="s">
        <v>1256</v>
      </c>
      <c r="E22" s="42"/>
      <c r="F22" s="46"/>
      <c r="G22" s="42">
        <v>10</v>
      </c>
      <c r="H22" s="43">
        <f>VLOOKUP(C22,[1]Sheet4!$B$2:$H$344,7,FALSE)</f>
        <v>11.16</v>
      </c>
      <c r="I22" s="43">
        <f t="shared" si="1"/>
        <v>111.6</v>
      </c>
      <c r="J22" s="45" t="s">
        <v>14</v>
      </c>
      <c r="K22" s="44">
        <v>10</v>
      </c>
    </row>
    <row r="23" spans="1:16" ht="20.100000000000001" customHeight="1">
      <c r="A23" s="37">
        <v>21</v>
      </c>
      <c r="B23" s="42" t="s">
        <v>1257</v>
      </c>
      <c r="C23" s="42">
        <v>40740242</v>
      </c>
      <c r="D23" s="42" t="s">
        <v>1258</v>
      </c>
      <c r="E23" s="42" t="s">
        <v>1259</v>
      </c>
      <c r="F23" s="46"/>
      <c r="G23" s="42">
        <v>8</v>
      </c>
      <c r="H23" s="43">
        <v>78.73</v>
      </c>
      <c r="I23" s="43">
        <f t="shared" si="1"/>
        <v>629.84</v>
      </c>
      <c r="J23" s="42" t="s">
        <v>14</v>
      </c>
      <c r="K23" s="44">
        <v>8</v>
      </c>
    </row>
    <row r="24" spans="1:16" ht="20.100000000000001" customHeight="1">
      <c r="A24" s="41">
        <v>22</v>
      </c>
      <c r="B24" s="42" t="s">
        <v>1260</v>
      </c>
      <c r="C24" s="42">
        <v>40691787</v>
      </c>
      <c r="D24" s="42" t="s">
        <v>1261</v>
      </c>
      <c r="E24" s="42" t="s">
        <v>1262</v>
      </c>
      <c r="F24" s="42" t="s">
        <v>1263</v>
      </c>
      <c r="G24" s="42">
        <v>2</v>
      </c>
      <c r="H24" s="43">
        <v>703.47</v>
      </c>
      <c r="I24" s="43">
        <f t="shared" si="1"/>
        <v>1406.94</v>
      </c>
      <c r="J24" s="42" t="s">
        <v>14</v>
      </c>
      <c r="K24" s="44">
        <v>2</v>
      </c>
    </row>
    <row r="25" spans="1:16" ht="20.100000000000001" customHeight="1">
      <c r="A25" s="37">
        <v>23</v>
      </c>
      <c r="B25" s="42" t="s">
        <v>1264</v>
      </c>
      <c r="C25" s="45">
        <v>40621561</v>
      </c>
      <c r="D25" s="45"/>
      <c r="E25" s="42"/>
      <c r="F25" s="46"/>
      <c r="G25" s="42">
        <v>2</v>
      </c>
      <c r="H25" s="43" t="e">
        <f>VLOOKUP(C25,[1]Sheet4!$B$2:$H$344,7,FALSE)</f>
        <v>#N/A</v>
      </c>
      <c r="I25" s="43" t="e">
        <f t="shared" si="1"/>
        <v>#N/A</v>
      </c>
      <c r="J25" s="45" t="s">
        <v>14</v>
      </c>
      <c r="K25" s="44">
        <v>2</v>
      </c>
    </row>
    <row r="26" spans="1:16" ht="20.100000000000001" customHeight="1">
      <c r="A26" s="41">
        <v>24</v>
      </c>
      <c r="B26" s="42" t="s">
        <v>1265</v>
      </c>
      <c r="C26" s="42">
        <v>40691789</v>
      </c>
      <c r="D26" s="42" t="s">
        <v>1266</v>
      </c>
      <c r="E26" s="42" t="s">
        <v>1267</v>
      </c>
      <c r="F26" s="42" t="s">
        <v>1268</v>
      </c>
      <c r="G26" s="42">
        <v>2</v>
      </c>
      <c r="H26" s="43">
        <v>568.26</v>
      </c>
      <c r="I26" s="43">
        <f t="shared" si="1"/>
        <v>1136.52</v>
      </c>
      <c r="J26" s="42" t="s">
        <v>14</v>
      </c>
      <c r="K26" s="44">
        <v>2</v>
      </c>
    </row>
    <row r="27" spans="1:16" ht="20.100000000000001" customHeight="1">
      <c r="A27" s="37">
        <v>25</v>
      </c>
      <c r="B27" s="42" t="s">
        <v>1269</v>
      </c>
      <c r="C27" s="42">
        <v>40691788</v>
      </c>
      <c r="D27" s="42" t="s">
        <v>1270</v>
      </c>
      <c r="E27" s="42" t="s">
        <v>1271</v>
      </c>
      <c r="F27" s="42" t="s">
        <v>1272</v>
      </c>
      <c r="G27" s="42">
        <v>2</v>
      </c>
      <c r="H27" s="43">
        <v>477.54</v>
      </c>
      <c r="I27" s="43">
        <f t="shared" si="1"/>
        <v>955.08</v>
      </c>
      <c r="J27" s="42" t="s">
        <v>14</v>
      </c>
      <c r="K27" s="44">
        <v>2</v>
      </c>
    </row>
    <row r="28" spans="1:16" ht="20.100000000000001" customHeight="1">
      <c r="A28" s="41">
        <v>26</v>
      </c>
      <c r="B28" s="42" t="s">
        <v>1273</v>
      </c>
      <c r="C28" s="42">
        <v>40761149</v>
      </c>
      <c r="D28" s="42" t="s">
        <v>1274</v>
      </c>
      <c r="E28" s="42" t="s">
        <v>1275</v>
      </c>
      <c r="F28" s="42" t="s">
        <v>1276</v>
      </c>
      <c r="G28" s="42">
        <v>2</v>
      </c>
      <c r="H28" s="43">
        <v>1719.36</v>
      </c>
      <c r="I28" s="43">
        <f t="shared" si="1"/>
        <v>3438.72</v>
      </c>
      <c r="J28" s="42" t="s">
        <v>14</v>
      </c>
      <c r="K28" s="44">
        <v>2</v>
      </c>
    </row>
    <row r="29" spans="1:16" ht="20.100000000000001" customHeight="1">
      <c r="A29" s="37">
        <v>27</v>
      </c>
      <c r="B29" s="42" t="s">
        <v>1277</v>
      </c>
      <c r="C29" s="45">
        <v>140200444</v>
      </c>
      <c r="D29" s="45" t="s">
        <v>1278</v>
      </c>
      <c r="E29" s="42"/>
      <c r="F29" s="46"/>
      <c r="G29" s="42">
        <v>100</v>
      </c>
      <c r="H29" s="43">
        <f>VLOOKUP(C29,[1]Sheet4!$B$2:$H$344,7,FALSE)</f>
        <v>0.28999999999999998</v>
      </c>
      <c r="I29" s="43">
        <f t="shared" si="1"/>
        <v>28.999999999999996</v>
      </c>
      <c r="J29" s="45" t="s">
        <v>14</v>
      </c>
      <c r="K29" s="44">
        <v>100</v>
      </c>
    </row>
    <row r="30" spans="1:16" ht="20.100000000000001" customHeight="1">
      <c r="A30" s="41">
        <v>28</v>
      </c>
      <c r="B30" s="42" t="s">
        <v>1277</v>
      </c>
      <c r="C30" s="45">
        <v>140200447</v>
      </c>
      <c r="D30" s="45" t="s">
        <v>1279</v>
      </c>
      <c r="E30" s="42"/>
      <c r="F30" s="46"/>
      <c r="G30" s="42">
        <v>50</v>
      </c>
      <c r="H30" s="43">
        <f>VLOOKUP(C30,[1]Sheet4!$B$2:$H$344,7,FALSE)</f>
        <v>0.55000000000000004</v>
      </c>
      <c r="I30" s="43">
        <f t="shared" si="1"/>
        <v>27.500000000000004</v>
      </c>
      <c r="J30" s="45" t="s">
        <v>14</v>
      </c>
      <c r="K30" s="44">
        <v>50</v>
      </c>
    </row>
    <row r="31" spans="1:16" ht="20.100000000000001" customHeight="1">
      <c r="A31" s="37">
        <v>29</v>
      </c>
      <c r="B31" s="42" t="s">
        <v>1280</v>
      </c>
      <c r="C31" s="45">
        <v>130600034</v>
      </c>
      <c r="D31" s="45" t="s">
        <v>1281</v>
      </c>
      <c r="E31" s="42"/>
      <c r="F31" s="46"/>
      <c r="G31" s="42">
        <v>19</v>
      </c>
      <c r="H31" s="43">
        <f>VLOOKUP(C31,[1]Sheet4!$B$2:$H$344,7,FALSE)</f>
        <v>25.37</v>
      </c>
      <c r="I31" s="43">
        <f t="shared" si="1"/>
        <v>482.03000000000003</v>
      </c>
      <c r="J31" s="45" t="s">
        <v>14</v>
      </c>
      <c r="K31" s="44">
        <v>18</v>
      </c>
    </row>
    <row r="32" spans="1:16" ht="20.100000000000001" customHeight="1">
      <c r="A32" s="41">
        <v>30</v>
      </c>
      <c r="B32" s="42" t="s">
        <v>1282</v>
      </c>
      <c r="C32" s="45">
        <v>131100559</v>
      </c>
      <c r="D32" s="45" t="s">
        <v>1283</v>
      </c>
      <c r="E32" s="42"/>
      <c r="F32" s="46"/>
      <c r="G32" s="42">
        <v>500</v>
      </c>
      <c r="H32" s="43">
        <f>VLOOKUP(C32,[1]Sheet4!$B$2:$H$344,7,FALSE)</f>
        <v>0.47</v>
      </c>
      <c r="I32" s="43">
        <f t="shared" si="1"/>
        <v>235</v>
      </c>
      <c r="J32" s="45" t="s">
        <v>14</v>
      </c>
      <c r="K32" s="44">
        <v>500</v>
      </c>
    </row>
    <row r="33" spans="1:11" ht="20.100000000000001" customHeight="1">
      <c r="A33" s="37">
        <v>31</v>
      </c>
      <c r="B33" s="42" t="s">
        <v>1284</v>
      </c>
      <c r="C33" s="45">
        <v>130400197</v>
      </c>
      <c r="D33" s="45" t="s">
        <v>1285</v>
      </c>
      <c r="E33" s="42"/>
      <c r="F33" s="46"/>
      <c r="G33" s="42">
        <v>9</v>
      </c>
      <c r="H33" s="43" t="e">
        <f>VLOOKUP(C33,[1]Sheet4!$B$2:$H$344,7,FALSE)</f>
        <v>#N/A</v>
      </c>
      <c r="I33" s="43" t="e">
        <f t="shared" si="1"/>
        <v>#N/A</v>
      </c>
      <c r="J33" s="45" t="s">
        <v>14</v>
      </c>
      <c r="K33" s="44">
        <v>9</v>
      </c>
    </row>
    <row r="34" spans="1:11" ht="20.100000000000001" customHeight="1">
      <c r="A34" s="41">
        <v>32</v>
      </c>
      <c r="B34" s="42" t="s">
        <v>1284</v>
      </c>
      <c r="C34" s="45">
        <v>130400195</v>
      </c>
      <c r="D34" s="45" t="s">
        <v>1286</v>
      </c>
      <c r="E34" s="42"/>
      <c r="F34" s="46"/>
      <c r="G34" s="42">
        <v>5</v>
      </c>
      <c r="H34" s="43">
        <f>VLOOKUP(C34,[1]Sheet4!$B$2:$H$344,7,FALSE)</f>
        <v>12.63</v>
      </c>
      <c r="I34" s="43">
        <f t="shared" si="1"/>
        <v>63.150000000000006</v>
      </c>
      <c r="J34" s="45" t="s">
        <v>14</v>
      </c>
      <c r="K34" s="44">
        <v>5</v>
      </c>
    </row>
    <row r="35" spans="1:11" ht="20.100000000000001" customHeight="1">
      <c r="A35" s="37">
        <v>33</v>
      </c>
      <c r="B35" s="42" t="s">
        <v>1284</v>
      </c>
      <c r="C35" s="45">
        <v>130400194</v>
      </c>
      <c r="D35" s="45" t="s">
        <v>1287</v>
      </c>
      <c r="E35" s="42"/>
      <c r="F35" s="46"/>
      <c r="G35" s="42">
        <v>10</v>
      </c>
      <c r="H35" s="43">
        <f>VLOOKUP(C35,[1]Sheet4!$B$2:$H$344,7,FALSE)</f>
        <v>15.78</v>
      </c>
      <c r="I35" s="43">
        <f t="shared" si="1"/>
        <v>157.79999999999998</v>
      </c>
      <c r="J35" s="45" t="s">
        <v>14</v>
      </c>
      <c r="K35" s="44">
        <v>10</v>
      </c>
    </row>
    <row r="36" spans="1:11" ht="20.100000000000001" customHeight="1">
      <c r="A36" s="41">
        <v>34</v>
      </c>
      <c r="B36" s="42" t="s">
        <v>1284</v>
      </c>
      <c r="C36" s="45" t="s">
        <v>1288</v>
      </c>
      <c r="D36" s="45" t="s">
        <v>1289</v>
      </c>
      <c r="E36" s="42"/>
      <c r="F36" s="46"/>
      <c r="G36" s="42">
        <v>3</v>
      </c>
      <c r="H36" s="43"/>
      <c r="I36" s="43">
        <f t="shared" si="1"/>
        <v>0</v>
      </c>
      <c r="J36" s="45"/>
      <c r="K36" s="44">
        <v>3</v>
      </c>
    </row>
    <row r="37" spans="1:11" ht="20.100000000000001" customHeight="1">
      <c r="A37" s="37">
        <v>35</v>
      </c>
      <c r="B37" s="42" t="s">
        <v>1290</v>
      </c>
      <c r="C37" s="45">
        <v>190100969</v>
      </c>
      <c r="D37" s="45" t="s">
        <v>1291</v>
      </c>
      <c r="E37" s="42"/>
      <c r="F37" s="46"/>
      <c r="G37" s="42">
        <v>41</v>
      </c>
      <c r="H37" s="43">
        <f>VLOOKUP(C37,[1]Sheet4!$B$2:$H$344,7,FALSE)</f>
        <v>3.91</v>
      </c>
      <c r="I37" s="43">
        <f t="shared" si="1"/>
        <v>160.31</v>
      </c>
      <c r="J37" s="45" t="s">
        <v>14</v>
      </c>
      <c r="K37" s="44">
        <v>41</v>
      </c>
    </row>
    <row r="38" spans="1:11" ht="20.100000000000001" customHeight="1">
      <c r="A38" s="41">
        <v>36</v>
      </c>
      <c r="B38" s="42" t="s">
        <v>1292</v>
      </c>
      <c r="C38" s="45">
        <v>130600056</v>
      </c>
      <c r="D38" s="45" t="s">
        <v>1293</v>
      </c>
      <c r="E38" s="42"/>
      <c r="F38" s="46"/>
      <c r="G38" s="42">
        <v>81</v>
      </c>
      <c r="H38" s="43">
        <f>VLOOKUP(C38,[1]Sheet4!$B$2:$H$344,7,FALSE)</f>
        <v>2.15</v>
      </c>
      <c r="I38" s="43">
        <f t="shared" si="1"/>
        <v>174.15</v>
      </c>
      <c r="J38" s="45" t="s">
        <v>14</v>
      </c>
      <c r="K38" s="44">
        <v>77</v>
      </c>
    </row>
    <row r="39" spans="1:11" ht="20.100000000000001" customHeight="1">
      <c r="A39" s="37">
        <v>37</v>
      </c>
      <c r="B39" s="42" t="s">
        <v>1294</v>
      </c>
      <c r="C39" s="45">
        <v>130400520</v>
      </c>
      <c r="D39" s="45" t="s">
        <v>1295</v>
      </c>
      <c r="E39" s="42"/>
      <c r="F39" s="46"/>
      <c r="G39" s="42">
        <v>43</v>
      </c>
      <c r="H39" s="43">
        <f>VLOOKUP(C39,[1]Sheet4!$B$2:$H$344,7,FALSE)</f>
        <v>6.02</v>
      </c>
      <c r="I39" s="43">
        <f t="shared" si="1"/>
        <v>258.85999999999996</v>
      </c>
      <c r="J39" s="45" t="s">
        <v>14</v>
      </c>
      <c r="K39" s="44">
        <v>42</v>
      </c>
    </row>
    <row r="40" spans="1:11" ht="20.100000000000001" customHeight="1">
      <c r="A40" s="41">
        <v>38</v>
      </c>
      <c r="B40" s="42" t="s">
        <v>1296</v>
      </c>
      <c r="C40" s="45">
        <v>130800380</v>
      </c>
      <c r="D40" s="45" t="s">
        <v>174</v>
      </c>
      <c r="E40" s="42"/>
      <c r="F40" s="46"/>
      <c r="G40" s="42">
        <v>33</v>
      </c>
      <c r="H40" s="43">
        <f>VLOOKUP(C40,[1]Sheet4!$B$2:$H$344,7,FALSE)</f>
        <v>14.76</v>
      </c>
      <c r="I40" s="43">
        <f t="shared" si="1"/>
        <v>487.08</v>
      </c>
      <c r="J40" s="45" t="s">
        <v>175</v>
      </c>
      <c r="K40" s="44">
        <v>28</v>
      </c>
    </row>
    <row r="41" spans="1:11" ht="20.100000000000001" customHeight="1">
      <c r="A41" s="37">
        <v>39</v>
      </c>
      <c r="B41" s="42" t="s">
        <v>1297</v>
      </c>
      <c r="C41" s="45">
        <v>130401244</v>
      </c>
      <c r="D41" s="45" t="s">
        <v>1298</v>
      </c>
      <c r="E41" s="42"/>
      <c r="F41" s="46"/>
      <c r="G41" s="42">
        <v>19</v>
      </c>
      <c r="H41" s="43">
        <f>VLOOKUP(C41,[1]Sheet4!$B$2:$H$344,7,FALSE)</f>
        <v>114.5</v>
      </c>
      <c r="I41" s="43">
        <f t="shared" si="1"/>
        <v>2175.5</v>
      </c>
      <c r="J41" s="45" t="s">
        <v>59</v>
      </c>
      <c r="K41" s="44">
        <v>19</v>
      </c>
    </row>
    <row r="42" spans="1:11" ht="20.100000000000001" customHeight="1">
      <c r="A42" s="41">
        <v>40</v>
      </c>
      <c r="B42" s="42" t="s">
        <v>1299</v>
      </c>
      <c r="C42" s="45">
        <v>130100118</v>
      </c>
      <c r="D42" s="45" t="s">
        <v>160</v>
      </c>
      <c r="E42" s="42"/>
      <c r="F42" s="46"/>
      <c r="G42" s="42">
        <v>2</v>
      </c>
      <c r="H42" s="43">
        <f>VLOOKUP(C42,[1]Sheet4!$B$2:$H$344,7,FALSE)</f>
        <v>40.81</v>
      </c>
      <c r="I42" s="43">
        <f t="shared" si="1"/>
        <v>81.62</v>
      </c>
      <c r="J42" s="45" t="s">
        <v>14</v>
      </c>
      <c r="K42" s="44">
        <v>2</v>
      </c>
    </row>
    <row r="43" spans="1:11" ht="20.100000000000001" customHeight="1">
      <c r="A43" s="37">
        <v>41</v>
      </c>
      <c r="B43" s="42" t="s">
        <v>1300</v>
      </c>
      <c r="C43" s="45">
        <v>130900107</v>
      </c>
      <c r="D43" s="45" t="s">
        <v>1301</v>
      </c>
      <c r="E43" s="42"/>
      <c r="F43" s="46"/>
      <c r="G43" s="42">
        <v>5</v>
      </c>
      <c r="H43" s="43">
        <f>VLOOKUP(C43,[1]Sheet4!$B$2:$H$344,7,FALSE)</f>
        <v>11.89</v>
      </c>
      <c r="I43" s="43">
        <f t="shared" si="1"/>
        <v>59.45</v>
      </c>
      <c r="J43" s="45" t="s">
        <v>14</v>
      </c>
      <c r="K43" s="44">
        <v>5</v>
      </c>
    </row>
    <row r="44" spans="1:11" ht="20.100000000000001" customHeight="1">
      <c r="A44" s="41">
        <v>42</v>
      </c>
      <c r="B44" s="42" t="s">
        <v>1302</v>
      </c>
      <c r="C44" s="45">
        <v>130400336</v>
      </c>
      <c r="D44" s="45" t="s">
        <v>166</v>
      </c>
      <c r="E44" s="42"/>
      <c r="F44" s="46"/>
      <c r="G44" s="42">
        <v>11</v>
      </c>
      <c r="H44" s="43">
        <f>VLOOKUP(C44,[1]Sheet4!$B$2:$H$344,7,FALSE)</f>
        <v>18.25</v>
      </c>
      <c r="I44" s="43">
        <f t="shared" si="1"/>
        <v>200.75</v>
      </c>
      <c r="J44" s="45" t="s">
        <v>14</v>
      </c>
      <c r="K44" s="44">
        <v>11</v>
      </c>
    </row>
    <row r="45" spans="1:11" ht="20.100000000000001" customHeight="1">
      <c r="A45" s="37">
        <v>43</v>
      </c>
      <c r="B45" s="42" t="s">
        <v>1303</v>
      </c>
      <c r="C45" s="45">
        <v>130400188</v>
      </c>
      <c r="D45" s="45" t="s">
        <v>1304</v>
      </c>
      <c r="E45" s="42"/>
      <c r="F45" s="46"/>
      <c r="G45" s="42">
        <v>10</v>
      </c>
      <c r="H45" s="43">
        <f>VLOOKUP(C45,[1]Sheet4!$B$2:$H$344,7,FALSE)</f>
        <v>53.41</v>
      </c>
      <c r="I45" s="43">
        <f t="shared" si="1"/>
        <v>534.09999999999991</v>
      </c>
      <c r="J45" s="45" t="s">
        <v>14</v>
      </c>
      <c r="K45" s="44">
        <v>10</v>
      </c>
    </row>
    <row r="46" spans="1:11" ht="20.100000000000001" customHeight="1">
      <c r="A46" s="41">
        <v>44</v>
      </c>
      <c r="B46" s="42" t="s">
        <v>1305</v>
      </c>
      <c r="C46" s="45">
        <v>130401246</v>
      </c>
      <c r="D46" s="45" t="s">
        <v>1306</v>
      </c>
      <c r="E46" s="42"/>
      <c r="F46" s="46"/>
      <c r="G46" s="42">
        <v>20</v>
      </c>
      <c r="H46" s="43">
        <f>VLOOKUP(C46,[1]Sheet4!$B$2:$H$344,7,FALSE)</f>
        <v>78.3</v>
      </c>
      <c r="I46" s="43">
        <f t="shared" si="1"/>
        <v>1566</v>
      </c>
      <c r="J46" s="45" t="s">
        <v>59</v>
      </c>
      <c r="K46" s="44">
        <v>20</v>
      </c>
    </row>
    <row r="47" spans="1:11" ht="20.100000000000001" customHeight="1">
      <c r="A47" s="37">
        <v>45</v>
      </c>
      <c r="B47" s="42" t="s">
        <v>1307</v>
      </c>
      <c r="C47" s="45">
        <v>130900517</v>
      </c>
      <c r="D47" s="45" t="s">
        <v>1308</v>
      </c>
      <c r="E47" s="42"/>
      <c r="F47" s="46"/>
      <c r="G47" s="42">
        <v>900</v>
      </c>
      <c r="H47" s="43">
        <f>VLOOKUP(C47,[1]Sheet4!$B$2:$H$344,7,FALSE)</f>
        <v>0.56000000000000005</v>
      </c>
      <c r="I47" s="43">
        <f t="shared" si="1"/>
        <v>504.00000000000006</v>
      </c>
      <c r="J47" s="45" t="s">
        <v>14</v>
      </c>
      <c r="K47" s="44">
        <v>900</v>
      </c>
    </row>
    <row r="48" spans="1:11" ht="20.100000000000001" customHeight="1">
      <c r="A48" s="41">
        <v>46</v>
      </c>
      <c r="B48" s="42" t="s">
        <v>1309</v>
      </c>
      <c r="C48" s="45">
        <v>131100558</v>
      </c>
      <c r="D48" s="45" t="s">
        <v>1310</v>
      </c>
      <c r="E48" s="42"/>
      <c r="F48" s="46"/>
      <c r="G48" s="42">
        <v>162</v>
      </c>
      <c r="H48" s="43">
        <f>VLOOKUP(C48,[1]Sheet4!$B$2:$H$344,7,FALSE)</f>
        <v>0.72</v>
      </c>
      <c r="I48" s="43">
        <f t="shared" si="1"/>
        <v>116.64</v>
      </c>
      <c r="J48" s="45" t="s">
        <v>14</v>
      </c>
      <c r="K48" s="44">
        <v>160</v>
      </c>
    </row>
    <row r="49" spans="1:11" ht="20.100000000000001" customHeight="1">
      <c r="A49" s="37">
        <v>47</v>
      </c>
      <c r="B49" s="42" t="s">
        <v>1311</v>
      </c>
      <c r="C49" s="42">
        <v>40683713</v>
      </c>
      <c r="D49" s="42" t="s">
        <v>1312</v>
      </c>
      <c r="E49" s="42" t="s">
        <v>1313</v>
      </c>
      <c r="F49" s="42" t="s">
        <v>1314</v>
      </c>
      <c r="G49" s="42">
        <v>54</v>
      </c>
      <c r="H49" s="43">
        <v>2.89</v>
      </c>
      <c r="I49" s="43">
        <f t="shared" si="1"/>
        <v>156.06</v>
      </c>
      <c r="J49" s="42" t="s">
        <v>14</v>
      </c>
      <c r="K49" s="44">
        <v>54</v>
      </c>
    </row>
    <row r="50" spans="1:11" ht="20.100000000000001" customHeight="1">
      <c r="A50" s="41">
        <v>48</v>
      </c>
      <c r="B50" s="42" t="s">
        <v>1311</v>
      </c>
      <c r="C50" s="42">
        <v>40683719</v>
      </c>
      <c r="D50" s="42" t="s">
        <v>1315</v>
      </c>
      <c r="E50" s="42" t="s">
        <v>1316</v>
      </c>
      <c r="F50" s="42" t="s">
        <v>1317</v>
      </c>
      <c r="G50" s="42">
        <v>5</v>
      </c>
      <c r="H50" s="43">
        <v>9.41</v>
      </c>
      <c r="I50" s="43">
        <f t="shared" si="1"/>
        <v>47.05</v>
      </c>
      <c r="J50" s="42" t="s">
        <v>14</v>
      </c>
      <c r="K50" s="44">
        <v>5</v>
      </c>
    </row>
    <row r="51" spans="1:11" ht="20.100000000000001" customHeight="1">
      <c r="A51" s="37">
        <v>49</v>
      </c>
      <c r="B51" s="42" t="s">
        <v>1311</v>
      </c>
      <c r="C51" s="42">
        <v>40683717</v>
      </c>
      <c r="D51" s="42" t="s">
        <v>1318</v>
      </c>
      <c r="E51" s="42" t="s">
        <v>1319</v>
      </c>
      <c r="F51" s="42" t="s">
        <v>1320</v>
      </c>
      <c r="G51" s="42">
        <v>1</v>
      </c>
      <c r="H51" s="43">
        <v>5.97</v>
      </c>
      <c r="I51" s="43">
        <f t="shared" si="1"/>
        <v>5.97</v>
      </c>
      <c r="J51" s="42" t="s">
        <v>14</v>
      </c>
      <c r="K51" s="44">
        <v>0</v>
      </c>
    </row>
    <row r="52" spans="1:11" ht="20.100000000000001" customHeight="1">
      <c r="A52" s="41">
        <v>50</v>
      </c>
      <c r="B52" s="42" t="s">
        <v>1311</v>
      </c>
      <c r="C52" s="42">
        <v>40683718</v>
      </c>
      <c r="D52" s="42" t="s">
        <v>1321</v>
      </c>
      <c r="E52" s="42" t="s">
        <v>1322</v>
      </c>
      <c r="F52" s="42" t="s">
        <v>1323</v>
      </c>
      <c r="G52" s="42">
        <v>11</v>
      </c>
      <c r="H52" s="43">
        <v>6.69</v>
      </c>
      <c r="I52" s="43">
        <f t="shared" si="1"/>
        <v>73.59</v>
      </c>
      <c r="J52" s="42" t="s">
        <v>14</v>
      </c>
      <c r="K52" s="44">
        <v>9</v>
      </c>
    </row>
    <row r="53" spans="1:11" ht="20.100000000000001" customHeight="1">
      <c r="A53" s="37">
        <v>51</v>
      </c>
      <c r="B53" s="42" t="s">
        <v>1311</v>
      </c>
      <c r="C53" s="42">
        <v>40734620</v>
      </c>
      <c r="D53" s="42" t="s">
        <v>1324</v>
      </c>
      <c r="E53" s="42" t="s">
        <v>1325</v>
      </c>
      <c r="F53" s="42" t="s">
        <v>1326</v>
      </c>
      <c r="G53" s="42">
        <v>15</v>
      </c>
      <c r="H53" s="43">
        <v>1.47</v>
      </c>
      <c r="I53" s="43">
        <f t="shared" si="1"/>
        <v>22.05</v>
      </c>
      <c r="J53" s="42" t="s">
        <v>14</v>
      </c>
      <c r="K53" s="44">
        <v>14</v>
      </c>
    </row>
    <row r="54" spans="1:11" ht="20.100000000000001" customHeight="1">
      <c r="A54" s="41">
        <v>52</v>
      </c>
      <c r="B54" s="42" t="s">
        <v>1327</v>
      </c>
      <c r="C54" s="42" t="s">
        <v>1328</v>
      </c>
      <c r="D54" s="42" t="s">
        <v>1329</v>
      </c>
      <c r="E54" s="42" t="s">
        <v>1330</v>
      </c>
      <c r="F54" s="42"/>
      <c r="G54" s="42">
        <v>6</v>
      </c>
      <c r="H54" s="43"/>
      <c r="I54" s="43">
        <f t="shared" si="1"/>
        <v>0</v>
      </c>
      <c r="J54" s="42" t="s">
        <v>14</v>
      </c>
      <c r="K54" s="44">
        <v>6</v>
      </c>
    </row>
    <row r="55" spans="1:11" ht="20.100000000000001" customHeight="1">
      <c r="A55" s="37">
        <v>53</v>
      </c>
      <c r="B55" s="42" t="s">
        <v>1331</v>
      </c>
      <c r="C55" s="42">
        <v>40741983</v>
      </c>
      <c r="D55" s="42" t="s">
        <v>1332</v>
      </c>
      <c r="E55" s="42" t="s">
        <v>1333</v>
      </c>
      <c r="F55" s="42"/>
      <c r="G55" s="42">
        <v>2</v>
      </c>
      <c r="H55" s="43">
        <v>181.84</v>
      </c>
      <c r="I55" s="43">
        <f t="shared" si="1"/>
        <v>363.68</v>
      </c>
      <c r="J55" s="42" t="s">
        <v>14</v>
      </c>
      <c r="K55" s="44">
        <v>2</v>
      </c>
    </row>
    <row r="56" spans="1:11" ht="20.100000000000001" customHeight="1">
      <c r="A56" s="41">
        <v>54</v>
      </c>
      <c r="B56" s="42" t="s">
        <v>1334</v>
      </c>
      <c r="C56" s="42" t="s">
        <v>1335</v>
      </c>
      <c r="D56" s="42" t="s">
        <v>1336</v>
      </c>
      <c r="E56" s="42" t="s">
        <v>1337</v>
      </c>
      <c r="F56" s="42"/>
      <c r="G56" s="42">
        <v>7</v>
      </c>
      <c r="H56" s="43"/>
      <c r="I56" s="43">
        <f t="shared" si="1"/>
        <v>0</v>
      </c>
      <c r="J56" s="42" t="s">
        <v>14</v>
      </c>
      <c r="K56" s="44">
        <v>7</v>
      </c>
    </row>
    <row r="57" spans="1:11" ht="20.100000000000001" customHeight="1">
      <c r="A57" s="37">
        <v>55</v>
      </c>
      <c r="B57" s="42" t="s">
        <v>1338</v>
      </c>
      <c r="C57" s="42" t="s">
        <v>1339</v>
      </c>
      <c r="D57" s="42" t="s">
        <v>1340</v>
      </c>
      <c r="E57" s="42" t="s">
        <v>1341</v>
      </c>
      <c r="F57" s="42"/>
      <c r="G57" s="42">
        <v>5</v>
      </c>
      <c r="H57" s="43"/>
      <c r="I57" s="43">
        <f t="shared" si="1"/>
        <v>0</v>
      </c>
      <c r="J57" s="42" t="s">
        <v>14</v>
      </c>
      <c r="K57" s="44">
        <v>5</v>
      </c>
    </row>
    <row r="58" spans="1:11" ht="20.100000000000001" customHeight="1">
      <c r="A58" s="41">
        <v>56</v>
      </c>
      <c r="B58" s="42" t="s">
        <v>1342</v>
      </c>
      <c r="C58" s="42">
        <v>40761524</v>
      </c>
      <c r="D58" s="42" t="s">
        <v>1343</v>
      </c>
      <c r="E58" s="42" t="s">
        <v>1344</v>
      </c>
      <c r="F58" s="42"/>
      <c r="G58" s="42">
        <v>2</v>
      </c>
      <c r="H58" s="43">
        <v>131.13</v>
      </c>
      <c r="I58" s="43">
        <f t="shared" si="1"/>
        <v>262.26</v>
      </c>
      <c r="J58" s="42" t="s">
        <v>59</v>
      </c>
      <c r="K58" s="44">
        <v>2</v>
      </c>
    </row>
    <row r="59" spans="1:11" ht="20.100000000000001" customHeight="1">
      <c r="A59" s="37">
        <v>57</v>
      </c>
      <c r="B59" s="42" t="s">
        <v>1345</v>
      </c>
      <c r="C59" s="42">
        <v>40761515</v>
      </c>
      <c r="D59" s="42" t="s">
        <v>1343</v>
      </c>
      <c r="E59" s="42" t="s">
        <v>1344</v>
      </c>
      <c r="F59" s="42" t="s">
        <v>1346</v>
      </c>
      <c r="G59" s="42">
        <v>3</v>
      </c>
      <c r="H59" s="43">
        <v>99.85</v>
      </c>
      <c r="I59" s="43">
        <f t="shared" si="1"/>
        <v>299.54999999999995</v>
      </c>
      <c r="J59" s="42" t="s">
        <v>59</v>
      </c>
      <c r="K59" s="44">
        <v>3</v>
      </c>
    </row>
    <row r="60" spans="1:11" ht="20.100000000000001" customHeight="1">
      <c r="A60" s="41">
        <v>58</v>
      </c>
      <c r="B60" s="42" t="s">
        <v>1345</v>
      </c>
      <c r="C60" s="42">
        <v>40761517</v>
      </c>
      <c r="D60" s="42" t="s">
        <v>1347</v>
      </c>
      <c r="E60" s="42" t="s">
        <v>18</v>
      </c>
      <c r="F60" s="42" t="s">
        <v>1346</v>
      </c>
      <c r="G60" s="42">
        <v>3</v>
      </c>
      <c r="H60" s="43">
        <v>221.85</v>
      </c>
      <c r="I60" s="43">
        <f t="shared" si="1"/>
        <v>665.55</v>
      </c>
      <c r="J60" s="42" t="s">
        <v>14</v>
      </c>
      <c r="K60" s="44">
        <v>3</v>
      </c>
    </row>
    <row r="61" spans="1:11" ht="20.100000000000001" customHeight="1">
      <c r="A61" s="37">
        <v>59</v>
      </c>
      <c r="B61" s="42" t="s">
        <v>1345</v>
      </c>
      <c r="C61" s="42">
        <v>40761520</v>
      </c>
      <c r="D61" s="42" t="s">
        <v>1348</v>
      </c>
      <c r="E61" s="42" t="s">
        <v>1349</v>
      </c>
      <c r="F61" s="42" t="s">
        <v>1346</v>
      </c>
      <c r="G61" s="42">
        <v>2</v>
      </c>
      <c r="H61" s="43">
        <v>616.11</v>
      </c>
      <c r="I61" s="43">
        <f t="shared" si="1"/>
        <v>1232.22</v>
      </c>
      <c r="J61" s="42" t="s">
        <v>14</v>
      </c>
      <c r="K61" s="44">
        <v>2</v>
      </c>
    </row>
    <row r="62" spans="1:11" ht="20.100000000000001" customHeight="1">
      <c r="A62" s="41">
        <v>60</v>
      </c>
      <c r="B62" s="42" t="s">
        <v>1345</v>
      </c>
      <c r="C62" s="42">
        <v>40761518</v>
      </c>
      <c r="D62" s="42" t="s">
        <v>1350</v>
      </c>
      <c r="E62" s="42" t="s">
        <v>1351</v>
      </c>
      <c r="F62" s="42" t="s">
        <v>1346</v>
      </c>
      <c r="G62" s="42">
        <v>2</v>
      </c>
      <c r="H62" s="43">
        <v>164.43</v>
      </c>
      <c r="I62" s="43">
        <f t="shared" si="1"/>
        <v>328.86</v>
      </c>
      <c r="J62" s="42" t="s">
        <v>14</v>
      </c>
      <c r="K62" s="44">
        <v>2</v>
      </c>
    </row>
    <row r="63" spans="1:11" ht="20.100000000000001" customHeight="1">
      <c r="A63" s="37">
        <v>61</v>
      </c>
      <c r="B63" s="42" t="s">
        <v>1352</v>
      </c>
      <c r="C63" s="42">
        <v>40761514</v>
      </c>
      <c r="D63" s="42" t="s">
        <v>1353</v>
      </c>
      <c r="E63" s="42" t="s">
        <v>1354</v>
      </c>
      <c r="F63" s="42" t="s">
        <v>1346</v>
      </c>
      <c r="G63" s="42">
        <v>3</v>
      </c>
      <c r="H63" s="43">
        <v>25.91</v>
      </c>
      <c r="I63" s="43">
        <f t="shared" si="1"/>
        <v>77.73</v>
      </c>
      <c r="J63" s="42" t="s">
        <v>59</v>
      </c>
      <c r="K63" s="44">
        <v>3</v>
      </c>
    </row>
    <row r="64" spans="1:11" ht="20.100000000000001" customHeight="1">
      <c r="A64" s="41">
        <v>62</v>
      </c>
      <c r="B64" s="42" t="s">
        <v>1352</v>
      </c>
      <c r="C64" s="42">
        <v>40761513</v>
      </c>
      <c r="D64" s="42" t="s">
        <v>1355</v>
      </c>
      <c r="E64" s="42" t="s">
        <v>1356</v>
      </c>
      <c r="F64" s="42" t="s">
        <v>1346</v>
      </c>
      <c r="G64" s="42">
        <v>5</v>
      </c>
      <c r="H64" s="43">
        <v>2.29</v>
      </c>
      <c r="I64" s="43">
        <f t="shared" si="1"/>
        <v>11.45</v>
      </c>
      <c r="J64" s="42" t="s">
        <v>14</v>
      </c>
      <c r="K64" s="44">
        <v>5</v>
      </c>
    </row>
    <row r="65" spans="1:11" ht="20.100000000000001" customHeight="1">
      <c r="A65" s="37">
        <v>63</v>
      </c>
      <c r="B65" s="42" t="s">
        <v>1352</v>
      </c>
      <c r="C65" s="42">
        <v>40761511</v>
      </c>
      <c r="D65" s="42" t="s">
        <v>1357</v>
      </c>
      <c r="E65" s="42" t="s">
        <v>1358</v>
      </c>
      <c r="F65" s="42" t="s">
        <v>1346</v>
      </c>
      <c r="G65" s="42">
        <v>5</v>
      </c>
      <c r="H65" s="43">
        <v>42.35</v>
      </c>
      <c r="I65" s="43">
        <f t="shared" si="1"/>
        <v>211.75</v>
      </c>
      <c r="J65" s="42" t="s">
        <v>14</v>
      </c>
      <c r="K65" s="44">
        <v>5</v>
      </c>
    </row>
    <row r="66" spans="1:11" ht="20.100000000000001" customHeight="1">
      <c r="A66" s="41">
        <v>64</v>
      </c>
      <c r="B66" s="42" t="s">
        <v>1352</v>
      </c>
      <c r="C66" s="42">
        <v>40761516</v>
      </c>
      <c r="D66" s="42" t="s">
        <v>1359</v>
      </c>
      <c r="E66" s="42" t="s">
        <v>1360</v>
      </c>
      <c r="F66" s="42" t="s">
        <v>1346</v>
      </c>
      <c r="G66" s="42">
        <v>3</v>
      </c>
      <c r="H66" s="43">
        <v>355.46</v>
      </c>
      <c r="I66" s="43">
        <f t="shared" si="1"/>
        <v>1066.3799999999999</v>
      </c>
      <c r="J66" s="42" t="s">
        <v>59</v>
      </c>
      <c r="K66" s="44">
        <v>3</v>
      </c>
    </row>
    <row r="67" spans="1:11" ht="20.100000000000001" customHeight="1">
      <c r="A67" s="37">
        <v>65</v>
      </c>
      <c r="B67" s="42" t="s">
        <v>1352</v>
      </c>
      <c r="C67" s="42">
        <v>40761510</v>
      </c>
      <c r="D67" s="42" t="s">
        <v>1361</v>
      </c>
      <c r="E67" s="42" t="s">
        <v>1362</v>
      </c>
      <c r="F67" s="42" t="s">
        <v>1346</v>
      </c>
      <c r="G67" s="42">
        <v>2</v>
      </c>
      <c r="H67" s="43">
        <v>15.61</v>
      </c>
      <c r="I67" s="43">
        <f t="shared" si="1"/>
        <v>31.22</v>
      </c>
      <c r="J67" s="42" t="s">
        <v>14</v>
      </c>
      <c r="K67" s="44">
        <v>2</v>
      </c>
    </row>
    <row r="68" spans="1:11" ht="20.100000000000001" customHeight="1">
      <c r="A68" s="41">
        <v>66</v>
      </c>
      <c r="B68" s="42" t="s">
        <v>1352</v>
      </c>
      <c r="C68" s="42">
        <v>40761512</v>
      </c>
      <c r="D68" s="42" t="s">
        <v>1363</v>
      </c>
      <c r="E68" s="42" t="s">
        <v>1364</v>
      </c>
      <c r="F68" s="42" t="s">
        <v>1346</v>
      </c>
      <c r="G68" s="42">
        <v>5</v>
      </c>
      <c r="H68" s="43">
        <v>55.97</v>
      </c>
      <c r="I68" s="43">
        <f t="shared" si="1"/>
        <v>279.85000000000002</v>
      </c>
      <c r="J68" s="42" t="s">
        <v>14</v>
      </c>
      <c r="K68" s="44">
        <v>5</v>
      </c>
    </row>
    <row r="69" spans="1:11" ht="20.100000000000001" customHeight="1">
      <c r="A69" s="37">
        <v>67</v>
      </c>
      <c r="B69" s="42" t="s">
        <v>1352</v>
      </c>
      <c r="C69" s="42">
        <v>40761519</v>
      </c>
      <c r="D69" s="42" t="s">
        <v>1365</v>
      </c>
      <c r="E69" s="42" t="s">
        <v>943</v>
      </c>
      <c r="F69" s="42" t="s">
        <v>1346</v>
      </c>
      <c r="G69" s="42">
        <v>3</v>
      </c>
      <c r="H69" s="43">
        <v>24.45</v>
      </c>
      <c r="I69" s="43">
        <f t="shared" si="1"/>
        <v>73.349999999999994</v>
      </c>
      <c r="J69" s="42" t="s">
        <v>14</v>
      </c>
      <c r="K69" s="44">
        <v>3</v>
      </c>
    </row>
    <row r="70" spans="1:11" ht="20.100000000000001" customHeight="1">
      <c r="A70" s="41">
        <v>68</v>
      </c>
      <c r="B70" s="42" t="s">
        <v>1366</v>
      </c>
      <c r="C70" s="42" t="s">
        <v>1367</v>
      </c>
      <c r="D70" s="42" t="s">
        <v>1368</v>
      </c>
      <c r="E70" s="42" t="s">
        <v>1369</v>
      </c>
      <c r="F70" s="42"/>
      <c r="G70" s="42">
        <v>4</v>
      </c>
      <c r="H70" s="43"/>
      <c r="I70" s="43">
        <f t="shared" si="1"/>
        <v>0</v>
      </c>
      <c r="J70" s="42" t="s">
        <v>59</v>
      </c>
      <c r="K70" s="44">
        <v>4</v>
      </c>
    </row>
    <row r="71" spans="1:11" ht="20.100000000000001" customHeight="1">
      <c r="A71" s="37">
        <v>69</v>
      </c>
      <c r="B71" s="42" t="s">
        <v>1370</v>
      </c>
      <c r="C71" s="42" t="s">
        <v>1371</v>
      </c>
      <c r="D71" s="42" t="s">
        <v>1372</v>
      </c>
      <c r="E71" s="42" t="s">
        <v>1373</v>
      </c>
      <c r="F71" s="42" t="s">
        <v>1374</v>
      </c>
      <c r="G71" s="42">
        <v>24</v>
      </c>
      <c r="H71" s="43"/>
      <c r="I71" s="43">
        <f t="shared" si="1"/>
        <v>0</v>
      </c>
      <c r="J71" s="42" t="s">
        <v>175</v>
      </c>
      <c r="K71" s="44">
        <v>24</v>
      </c>
    </row>
    <row r="72" spans="1:11" ht="20.100000000000001" customHeight="1">
      <c r="A72" s="41">
        <v>70</v>
      </c>
      <c r="B72" s="42" t="s">
        <v>1375</v>
      </c>
      <c r="C72" s="42" t="s">
        <v>1376</v>
      </c>
      <c r="D72" s="42" t="s">
        <v>1377</v>
      </c>
      <c r="E72" s="42" t="s">
        <v>1378</v>
      </c>
      <c r="F72" s="42"/>
      <c r="G72" s="42">
        <v>3</v>
      </c>
      <c r="H72" s="43"/>
      <c r="I72" s="43">
        <f t="shared" si="1"/>
        <v>0</v>
      </c>
      <c r="J72" s="42" t="s">
        <v>14</v>
      </c>
      <c r="K72" s="44">
        <v>3</v>
      </c>
    </row>
    <row r="73" spans="1:11" ht="20.100000000000001" customHeight="1">
      <c r="A73" s="37">
        <v>71</v>
      </c>
      <c r="B73" s="42" t="s">
        <v>1375</v>
      </c>
      <c r="C73" s="45">
        <v>140200446</v>
      </c>
      <c r="D73" s="45" t="s">
        <v>1379</v>
      </c>
      <c r="E73" s="42"/>
      <c r="F73" s="46"/>
      <c r="G73" s="42">
        <v>50</v>
      </c>
      <c r="H73" s="43">
        <f>VLOOKUP(C73,[1]Sheet4!$B$2:$H$344,7,FALSE)</f>
        <v>0.47</v>
      </c>
      <c r="I73" s="43">
        <f t="shared" si="1"/>
        <v>23.5</v>
      </c>
      <c r="J73" s="45" t="s">
        <v>14</v>
      </c>
      <c r="K73" s="44">
        <v>50</v>
      </c>
    </row>
    <row r="74" spans="1:11" ht="20.100000000000001" customHeight="1">
      <c r="A74" s="41">
        <v>72</v>
      </c>
      <c r="B74" s="42" t="s">
        <v>1380</v>
      </c>
      <c r="C74" s="42">
        <v>40751796</v>
      </c>
      <c r="D74" s="42" t="s">
        <v>1381</v>
      </c>
      <c r="E74" s="42" t="s">
        <v>1382</v>
      </c>
      <c r="F74" s="42" t="s">
        <v>1383</v>
      </c>
      <c r="G74" s="42">
        <v>33</v>
      </c>
      <c r="H74" s="43"/>
      <c r="I74" s="43">
        <f t="shared" si="1"/>
        <v>0</v>
      </c>
      <c r="J74" s="42" t="s">
        <v>14</v>
      </c>
      <c r="K74" s="44">
        <v>33</v>
      </c>
    </row>
    <row r="75" spans="1:11" ht="20.100000000000001" customHeight="1">
      <c r="A75" s="37">
        <v>73</v>
      </c>
      <c r="B75" s="42" t="s">
        <v>1384</v>
      </c>
      <c r="C75" s="42">
        <v>40696160</v>
      </c>
      <c r="D75" s="42" t="s">
        <v>1385</v>
      </c>
      <c r="E75" s="42" t="s">
        <v>1386</v>
      </c>
      <c r="F75" s="42"/>
      <c r="G75" s="42">
        <v>2</v>
      </c>
      <c r="H75" s="43">
        <v>76</v>
      </c>
      <c r="I75" s="43">
        <f t="shared" si="1"/>
        <v>152</v>
      </c>
      <c r="J75" s="42" t="s">
        <v>14</v>
      </c>
      <c r="K75" s="44">
        <v>2</v>
      </c>
    </row>
    <row r="76" spans="1:11" ht="20.100000000000001" customHeight="1">
      <c r="A76" s="41">
        <v>74</v>
      </c>
      <c r="B76" s="42" t="s">
        <v>1387</v>
      </c>
      <c r="C76" s="42" t="s">
        <v>1388</v>
      </c>
      <c r="D76" s="42" t="s">
        <v>1389</v>
      </c>
      <c r="E76" s="42" t="s">
        <v>1390</v>
      </c>
      <c r="F76" s="42" t="s">
        <v>1391</v>
      </c>
      <c r="G76" s="42">
        <v>3</v>
      </c>
      <c r="H76" s="43"/>
      <c r="I76" s="43">
        <f t="shared" si="1"/>
        <v>0</v>
      </c>
      <c r="J76" s="42" t="s">
        <v>14</v>
      </c>
      <c r="K76" s="44">
        <v>3</v>
      </c>
    </row>
    <row r="77" spans="1:11" ht="20.100000000000001" customHeight="1">
      <c r="A77" s="37">
        <v>75</v>
      </c>
      <c r="B77" s="42" t="s">
        <v>1387</v>
      </c>
      <c r="C77" s="45">
        <v>40794508</v>
      </c>
      <c r="D77" s="45" t="s">
        <v>1392</v>
      </c>
      <c r="E77" s="42"/>
      <c r="F77" s="46"/>
      <c r="G77" s="42">
        <v>6</v>
      </c>
      <c r="H77" s="47">
        <v>13988.14</v>
      </c>
      <c r="I77" s="47">
        <f t="shared" si="1"/>
        <v>83928.84</v>
      </c>
      <c r="J77" s="45" t="s">
        <v>14</v>
      </c>
      <c r="K77" s="44">
        <v>6</v>
      </c>
    </row>
    <row r="78" spans="1:11" ht="20.100000000000001" customHeight="1">
      <c r="A78" s="41">
        <v>76</v>
      </c>
      <c r="B78" s="42" t="s">
        <v>1393</v>
      </c>
      <c r="C78" s="42">
        <v>40627078</v>
      </c>
      <c r="D78" s="42" t="s">
        <v>1394</v>
      </c>
      <c r="E78" s="42" t="s">
        <v>1395</v>
      </c>
      <c r="F78" s="42"/>
      <c r="G78" s="42">
        <v>4</v>
      </c>
      <c r="H78" s="43">
        <v>624.82000000000005</v>
      </c>
      <c r="I78" s="43">
        <f t="shared" si="1"/>
        <v>2499.2800000000002</v>
      </c>
      <c r="J78" s="42" t="s">
        <v>14</v>
      </c>
      <c r="K78" s="44">
        <v>4</v>
      </c>
    </row>
    <row r="79" spans="1:11" ht="20.100000000000001" customHeight="1">
      <c r="A79" s="37">
        <v>77</v>
      </c>
      <c r="B79" s="42" t="s">
        <v>1396</v>
      </c>
      <c r="C79" s="45">
        <v>40751797</v>
      </c>
      <c r="D79" s="45" t="s">
        <v>1397</v>
      </c>
      <c r="E79" s="42"/>
      <c r="F79" s="46"/>
      <c r="G79" s="42">
        <v>30</v>
      </c>
      <c r="H79" s="43">
        <f>VLOOKUP(C79,[1]Sheet4!$B$2:$H$344,7,FALSE)</f>
        <v>116.74</v>
      </c>
      <c r="I79" s="43">
        <f t="shared" si="1"/>
        <v>3502.2</v>
      </c>
      <c r="J79" s="45" t="s">
        <v>14</v>
      </c>
      <c r="K79" s="44">
        <v>30</v>
      </c>
    </row>
    <row r="80" spans="1:11" ht="20.100000000000001" customHeight="1">
      <c r="A80" s="41">
        <v>78</v>
      </c>
      <c r="B80" s="42" t="s">
        <v>1398</v>
      </c>
      <c r="C80" s="45">
        <v>40751795</v>
      </c>
      <c r="D80" s="45" t="s">
        <v>1399</v>
      </c>
      <c r="E80" s="42"/>
      <c r="F80" s="46"/>
      <c r="G80" s="42">
        <v>30</v>
      </c>
      <c r="H80" s="43">
        <f>VLOOKUP(C80,[1]Sheet4!$B$2:$H$344,7,FALSE)</f>
        <v>230.74</v>
      </c>
      <c r="I80" s="43">
        <f t="shared" ref="I80:I146" si="2">H80*G80</f>
        <v>6922.2000000000007</v>
      </c>
      <c r="J80" s="45" t="s">
        <v>14</v>
      </c>
      <c r="K80" s="44">
        <v>30</v>
      </c>
    </row>
    <row r="81" spans="1:11" ht="20.100000000000001" customHeight="1">
      <c r="A81" s="37"/>
      <c r="B81" s="42" t="s">
        <v>1400</v>
      </c>
      <c r="C81" s="45">
        <v>130600172</v>
      </c>
      <c r="D81" s="45"/>
      <c r="E81" s="42"/>
      <c r="F81" s="46"/>
      <c r="G81" s="42">
        <v>5</v>
      </c>
      <c r="H81" s="43"/>
      <c r="I81" s="43"/>
      <c r="J81" s="45" t="s">
        <v>14</v>
      </c>
      <c r="K81" s="44">
        <v>5</v>
      </c>
    </row>
    <row r="82" spans="1:11" ht="20.100000000000001" customHeight="1">
      <c r="A82" s="37">
        <v>79</v>
      </c>
      <c r="B82" s="42" t="s">
        <v>1400</v>
      </c>
      <c r="C82" s="45">
        <v>190200318</v>
      </c>
      <c r="D82" s="45" t="s">
        <v>1401</v>
      </c>
      <c r="E82" s="42"/>
      <c r="F82" s="46"/>
      <c r="G82" s="42">
        <v>1</v>
      </c>
      <c r="H82" s="43">
        <f>VLOOKUP(C82,[1]Sheet4!$B$2:$H$344,7,FALSE)</f>
        <v>14.97</v>
      </c>
      <c r="I82" s="43">
        <f t="shared" si="2"/>
        <v>14.97</v>
      </c>
      <c r="J82" s="45" t="s">
        <v>59</v>
      </c>
      <c r="K82" s="44">
        <v>1</v>
      </c>
    </row>
    <row r="83" spans="1:11" ht="20.100000000000001" customHeight="1">
      <c r="A83" s="41">
        <v>80</v>
      </c>
      <c r="B83" s="42" t="s">
        <v>1402</v>
      </c>
      <c r="C83" s="42">
        <v>40779852</v>
      </c>
      <c r="D83" s="42" t="s">
        <v>1403</v>
      </c>
      <c r="E83" s="42" t="s">
        <v>1404</v>
      </c>
      <c r="F83" s="42"/>
      <c r="G83" s="42">
        <v>2</v>
      </c>
      <c r="H83" s="43">
        <v>112.44</v>
      </c>
      <c r="I83" s="43">
        <f t="shared" si="2"/>
        <v>224.88</v>
      </c>
      <c r="J83" s="42" t="s">
        <v>14</v>
      </c>
      <c r="K83" s="44">
        <v>2</v>
      </c>
    </row>
    <row r="84" spans="1:11" ht="20.100000000000001" customHeight="1">
      <c r="A84" s="37">
        <v>81</v>
      </c>
      <c r="B84" s="42" t="s">
        <v>1405</v>
      </c>
      <c r="C84" s="42">
        <v>40394944</v>
      </c>
      <c r="D84" s="42" t="s">
        <v>1406</v>
      </c>
      <c r="E84" s="42" t="s">
        <v>1407</v>
      </c>
      <c r="F84" s="42"/>
      <c r="G84" s="42">
        <v>16</v>
      </c>
      <c r="H84" s="43">
        <v>120.96</v>
      </c>
      <c r="I84" s="43">
        <f t="shared" si="2"/>
        <v>1935.36</v>
      </c>
      <c r="J84" s="42" t="s">
        <v>14</v>
      </c>
      <c r="K84" s="44">
        <v>16</v>
      </c>
    </row>
    <row r="85" spans="1:11" ht="20.100000000000001" customHeight="1">
      <c r="A85" s="41">
        <v>82</v>
      </c>
      <c r="B85" s="42" t="s">
        <v>1408</v>
      </c>
      <c r="C85" s="42">
        <v>40263392</v>
      </c>
      <c r="D85" s="42" t="s">
        <v>1409</v>
      </c>
      <c r="E85" s="42" t="s">
        <v>1410</v>
      </c>
      <c r="F85" s="42"/>
      <c r="G85" s="42">
        <v>5</v>
      </c>
      <c r="H85" s="43">
        <v>459.44</v>
      </c>
      <c r="I85" s="43">
        <f t="shared" si="2"/>
        <v>2297.1999999999998</v>
      </c>
      <c r="J85" s="42" t="s">
        <v>14</v>
      </c>
      <c r="K85" s="44">
        <v>5</v>
      </c>
    </row>
    <row r="86" spans="1:11" ht="20.100000000000001" customHeight="1">
      <c r="A86" s="37">
        <v>83</v>
      </c>
      <c r="B86" s="42" t="s">
        <v>1411</v>
      </c>
      <c r="C86" s="42" t="s">
        <v>1412</v>
      </c>
      <c r="D86" s="42" t="s">
        <v>1413</v>
      </c>
      <c r="E86" s="42" t="s">
        <v>1414</v>
      </c>
      <c r="F86" s="42" t="s">
        <v>1415</v>
      </c>
      <c r="G86" s="42">
        <v>2</v>
      </c>
      <c r="H86" s="43"/>
      <c r="I86" s="43">
        <f t="shared" si="2"/>
        <v>0</v>
      </c>
      <c r="J86" s="42" t="s">
        <v>59</v>
      </c>
      <c r="K86" s="44">
        <v>2</v>
      </c>
    </row>
    <row r="87" spans="1:11" ht="20.100000000000001" customHeight="1">
      <c r="A87" s="41">
        <v>84</v>
      </c>
      <c r="B87" s="42" t="s">
        <v>1411</v>
      </c>
      <c r="C87" s="45">
        <v>130400433</v>
      </c>
      <c r="D87" s="45" t="s">
        <v>1416</v>
      </c>
      <c r="E87" s="42"/>
      <c r="F87" s="46"/>
      <c r="G87" s="42">
        <v>10</v>
      </c>
      <c r="H87" s="43">
        <f>VLOOKUP(C87,[1]Sheet4!$B$2:$H$344,7,FALSE)</f>
        <v>21.2</v>
      </c>
      <c r="I87" s="43">
        <f t="shared" si="2"/>
        <v>212</v>
      </c>
      <c r="J87" s="45" t="s">
        <v>14</v>
      </c>
      <c r="K87" s="44">
        <v>10</v>
      </c>
    </row>
    <row r="88" spans="1:11" ht="20.100000000000001" customHeight="1">
      <c r="A88" s="37">
        <v>85</v>
      </c>
      <c r="B88" s="42" t="s">
        <v>1417</v>
      </c>
      <c r="C88" s="42" t="s">
        <v>1418</v>
      </c>
      <c r="D88" s="42" t="s">
        <v>1413</v>
      </c>
      <c r="E88" s="42" t="s">
        <v>1414</v>
      </c>
      <c r="F88" s="42" t="s">
        <v>1419</v>
      </c>
      <c r="G88" s="42">
        <v>3</v>
      </c>
      <c r="H88" s="43"/>
      <c r="I88" s="43">
        <f t="shared" si="2"/>
        <v>0</v>
      </c>
      <c r="J88" s="42" t="s">
        <v>59</v>
      </c>
      <c r="K88" s="44">
        <v>3</v>
      </c>
    </row>
    <row r="89" spans="1:11" ht="20.100000000000001" customHeight="1">
      <c r="A89" s="41">
        <v>86</v>
      </c>
      <c r="B89" s="42" t="s">
        <v>1417</v>
      </c>
      <c r="C89" s="45">
        <v>131100557</v>
      </c>
      <c r="D89" s="45" t="s">
        <v>1420</v>
      </c>
      <c r="E89" s="42"/>
      <c r="F89" s="46"/>
      <c r="G89" s="42">
        <v>37</v>
      </c>
      <c r="H89" s="43">
        <f>VLOOKUP(C89,[1]Sheet4!$B$2:$H$344,7,FALSE)</f>
        <v>1.29</v>
      </c>
      <c r="I89" s="43">
        <f t="shared" si="2"/>
        <v>47.730000000000004</v>
      </c>
      <c r="J89" s="45" t="s">
        <v>14</v>
      </c>
      <c r="K89" s="44">
        <v>33</v>
      </c>
    </row>
    <row r="90" spans="1:11" ht="20.100000000000001" customHeight="1">
      <c r="A90" s="37">
        <v>87</v>
      </c>
      <c r="B90" s="42" t="s">
        <v>1421</v>
      </c>
      <c r="C90" s="45" t="s">
        <v>1422</v>
      </c>
      <c r="D90" s="45" t="s">
        <v>1423</v>
      </c>
      <c r="E90" s="42"/>
      <c r="F90" s="46"/>
      <c r="G90" s="42">
        <v>23</v>
      </c>
      <c r="H90" s="43"/>
      <c r="I90" s="43">
        <f t="shared" si="2"/>
        <v>0</v>
      </c>
      <c r="J90" s="45"/>
      <c r="K90" s="44">
        <v>24</v>
      </c>
    </row>
    <row r="91" spans="1:11" ht="20.100000000000001" customHeight="1">
      <c r="A91" s="41">
        <v>88</v>
      </c>
      <c r="B91" s="42" t="s">
        <v>1421</v>
      </c>
      <c r="C91" s="45" t="s">
        <v>1424</v>
      </c>
      <c r="D91" s="45" t="s">
        <v>1425</v>
      </c>
      <c r="E91" s="42"/>
      <c r="F91" s="46"/>
      <c r="G91" s="42">
        <v>47</v>
      </c>
      <c r="H91" s="43"/>
      <c r="I91" s="43">
        <f t="shared" si="2"/>
        <v>0</v>
      </c>
      <c r="J91" s="45"/>
      <c r="K91" s="44">
        <v>47</v>
      </c>
    </row>
    <row r="92" spans="1:11" ht="20.100000000000001" customHeight="1">
      <c r="A92" s="37">
        <v>89</v>
      </c>
      <c r="B92" s="42" t="s">
        <v>1426</v>
      </c>
      <c r="C92" s="45">
        <v>130400523</v>
      </c>
      <c r="D92" s="45" t="s">
        <v>1427</v>
      </c>
      <c r="E92" s="42"/>
      <c r="F92" s="46"/>
      <c r="G92" s="42">
        <v>45</v>
      </c>
      <c r="H92" s="43">
        <f>VLOOKUP(C92,[1]Sheet4!$B$2:$H$344,7,FALSE)</f>
        <v>3</v>
      </c>
      <c r="I92" s="43">
        <f t="shared" si="2"/>
        <v>135</v>
      </c>
      <c r="J92" s="45" t="s">
        <v>14</v>
      </c>
      <c r="K92" s="44">
        <v>45</v>
      </c>
    </row>
    <row r="93" spans="1:11" ht="20.100000000000001" customHeight="1">
      <c r="A93" s="41">
        <v>90</v>
      </c>
      <c r="B93" s="42" t="s">
        <v>1428</v>
      </c>
      <c r="C93" s="45">
        <v>130800407</v>
      </c>
      <c r="D93" s="45" t="s">
        <v>167</v>
      </c>
      <c r="E93" s="42"/>
      <c r="F93" s="46"/>
      <c r="G93" s="42">
        <v>20</v>
      </c>
      <c r="H93" s="43" t="e">
        <f>VLOOKUP(C93,[1]Sheet4!$B$2:$H$344,7,FALSE)</f>
        <v>#N/A</v>
      </c>
      <c r="I93" s="43" t="e">
        <f t="shared" si="2"/>
        <v>#N/A</v>
      </c>
      <c r="J93" s="45" t="s">
        <v>14</v>
      </c>
      <c r="K93" s="44">
        <v>20</v>
      </c>
    </row>
    <row r="94" spans="1:11" ht="20.100000000000001" customHeight="1">
      <c r="A94" s="37">
        <v>91</v>
      </c>
      <c r="B94" s="42" t="s">
        <v>1429</v>
      </c>
      <c r="C94" s="45">
        <v>130600160</v>
      </c>
      <c r="D94" s="45" t="s">
        <v>1430</v>
      </c>
      <c r="E94" s="42"/>
      <c r="F94" s="46"/>
      <c r="G94" s="42">
        <v>7</v>
      </c>
      <c r="H94" s="43">
        <f>VLOOKUP(C94,[1]Sheet4!$B$2:$H$344,7,FALSE)</f>
        <v>13.18</v>
      </c>
      <c r="I94" s="43">
        <f t="shared" si="2"/>
        <v>92.259999999999991</v>
      </c>
      <c r="J94" s="45" t="s">
        <v>14</v>
      </c>
      <c r="K94" s="44">
        <v>7</v>
      </c>
    </row>
    <row r="95" spans="1:11" ht="20.100000000000001" customHeight="1">
      <c r="A95" s="41">
        <v>92</v>
      </c>
      <c r="B95" s="42" t="s">
        <v>1429</v>
      </c>
      <c r="C95" s="45" t="s">
        <v>1431</v>
      </c>
      <c r="D95" s="45" t="s">
        <v>1432</v>
      </c>
      <c r="E95" s="42"/>
      <c r="F95" s="46"/>
      <c r="G95" s="42">
        <v>10</v>
      </c>
      <c r="H95" s="43"/>
      <c r="I95" s="43">
        <f t="shared" si="2"/>
        <v>0</v>
      </c>
      <c r="J95" s="45"/>
      <c r="K95" s="44">
        <v>10</v>
      </c>
    </row>
    <row r="96" spans="1:11" ht="20.100000000000001" customHeight="1">
      <c r="A96" s="37">
        <v>93</v>
      </c>
      <c r="B96" s="42" t="s">
        <v>1433</v>
      </c>
      <c r="C96" s="45">
        <v>130600028</v>
      </c>
      <c r="D96" s="45" t="s">
        <v>1434</v>
      </c>
      <c r="E96" s="42"/>
      <c r="F96" s="46"/>
      <c r="G96" s="42">
        <v>9</v>
      </c>
      <c r="H96" s="43"/>
      <c r="I96" s="43">
        <f t="shared" si="2"/>
        <v>0</v>
      </c>
      <c r="J96" s="45"/>
      <c r="K96" s="44">
        <v>9</v>
      </c>
    </row>
    <row r="97" spans="1:11" ht="20.100000000000001" customHeight="1">
      <c r="A97" s="41">
        <v>94</v>
      </c>
      <c r="B97" s="42" t="s">
        <v>1433</v>
      </c>
      <c r="C97" s="45">
        <v>130600028</v>
      </c>
      <c r="D97" s="45" t="s">
        <v>1435</v>
      </c>
      <c r="E97" s="42"/>
      <c r="F97" s="46"/>
      <c r="G97" s="42">
        <v>10</v>
      </c>
      <c r="H97" s="43">
        <f>VLOOKUP(C97,[1]Sheet4!$B$2:$H$344,7,FALSE)</f>
        <v>144.96</v>
      </c>
      <c r="I97" s="43">
        <f t="shared" si="2"/>
        <v>1449.6000000000001</v>
      </c>
      <c r="J97" s="45" t="s">
        <v>14</v>
      </c>
      <c r="K97" s="44">
        <v>0</v>
      </c>
    </row>
    <row r="98" spans="1:11" ht="20.100000000000001" customHeight="1">
      <c r="A98" s="37">
        <v>95</v>
      </c>
      <c r="B98" s="42" t="s">
        <v>1433</v>
      </c>
      <c r="C98" s="45" t="s">
        <v>1436</v>
      </c>
      <c r="D98" s="45" t="s">
        <v>1437</v>
      </c>
      <c r="E98" s="42"/>
      <c r="F98" s="46"/>
      <c r="G98" s="42">
        <v>5</v>
      </c>
      <c r="H98" s="43"/>
      <c r="I98" s="43">
        <f t="shared" si="2"/>
        <v>0</v>
      </c>
      <c r="J98" s="45"/>
      <c r="K98" s="44">
        <v>5</v>
      </c>
    </row>
    <row r="99" spans="1:11" ht="20.100000000000001" customHeight="1">
      <c r="A99" s="41">
        <v>96</v>
      </c>
      <c r="B99" s="42" t="s">
        <v>1438</v>
      </c>
      <c r="C99" s="45">
        <v>130600054</v>
      </c>
      <c r="D99" s="45" t="s">
        <v>1439</v>
      </c>
      <c r="E99" s="42"/>
      <c r="F99" s="46"/>
      <c r="G99" s="42">
        <v>83</v>
      </c>
      <c r="H99" s="43">
        <f>VLOOKUP(C99,[1]Sheet4!$B$2:$H$344,7,FALSE)</f>
        <v>2.54</v>
      </c>
      <c r="I99" s="43">
        <f t="shared" si="2"/>
        <v>210.82</v>
      </c>
      <c r="J99" s="45" t="s">
        <v>14</v>
      </c>
      <c r="K99" s="44">
        <v>79</v>
      </c>
    </row>
    <row r="100" spans="1:11" ht="20.100000000000001" customHeight="1">
      <c r="A100" s="37">
        <v>97</v>
      </c>
      <c r="B100" s="42" t="s">
        <v>1440</v>
      </c>
      <c r="C100" s="45">
        <v>130401109</v>
      </c>
      <c r="D100" s="45" t="s">
        <v>1441</v>
      </c>
      <c r="E100" s="42"/>
      <c r="F100" s="46"/>
      <c r="G100" s="42">
        <v>19</v>
      </c>
      <c r="H100" s="43">
        <f>VLOOKUP(C100,[1]Sheet4!$B$2:$H$344,7,FALSE)</f>
        <v>12.75</v>
      </c>
      <c r="I100" s="43">
        <f t="shared" si="2"/>
        <v>242.25</v>
      </c>
      <c r="J100" s="45" t="s">
        <v>14</v>
      </c>
      <c r="K100" s="44">
        <v>19</v>
      </c>
    </row>
    <row r="101" spans="1:11" ht="20.100000000000001" customHeight="1">
      <c r="A101" s="41">
        <v>98</v>
      </c>
      <c r="B101" s="42" t="s">
        <v>1442</v>
      </c>
      <c r="C101" s="42">
        <v>40678756</v>
      </c>
      <c r="D101" s="42" t="s">
        <v>1443</v>
      </c>
      <c r="E101" s="42" t="s">
        <v>1444</v>
      </c>
      <c r="F101" s="42" t="s">
        <v>1445</v>
      </c>
      <c r="G101" s="42">
        <v>28</v>
      </c>
      <c r="H101" s="43">
        <v>9.0299999999999994</v>
      </c>
      <c r="I101" s="43">
        <f t="shared" si="2"/>
        <v>252.83999999999997</v>
      </c>
      <c r="J101" s="42" t="s">
        <v>14</v>
      </c>
      <c r="K101" s="44">
        <v>28</v>
      </c>
    </row>
    <row r="102" spans="1:11" ht="20.100000000000001" customHeight="1">
      <c r="A102" s="37">
        <v>99</v>
      </c>
      <c r="B102" s="42" t="s">
        <v>1446</v>
      </c>
      <c r="C102" s="42">
        <v>40252693</v>
      </c>
      <c r="D102" s="42" t="s">
        <v>1447</v>
      </c>
      <c r="E102" s="42" t="s">
        <v>1448</v>
      </c>
      <c r="F102" s="42"/>
      <c r="G102" s="42">
        <v>3</v>
      </c>
      <c r="H102" s="43">
        <v>4.12</v>
      </c>
      <c r="I102" s="43">
        <f t="shared" si="2"/>
        <v>12.36</v>
      </c>
      <c r="J102" s="42" t="s">
        <v>14</v>
      </c>
      <c r="K102" s="44">
        <v>3</v>
      </c>
    </row>
    <row r="103" spans="1:11" ht="20.100000000000001" customHeight="1">
      <c r="A103" s="41">
        <v>100</v>
      </c>
      <c r="B103" s="42" t="s">
        <v>1446</v>
      </c>
      <c r="C103" s="42">
        <v>40252669</v>
      </c>
      <c r="D103" s="42" t="s">
        <v>1449</v>
      </c>
      <c r="E103" s="42" t="s">
        <v>1450</v>
      </c>
      <c r="F103" s="42"/>
      <c r="G103" s="42">
        <v>5</v>
      </c>
      <c r="H103" s="43">
        <v>1.67</v>
      </c>
      <c r="I103" s="43">
        <f t="shared" si="2"/>
        <v>8.35</v>
      </c>
      <c r="J103" s="42" t="s">
        <v>14</v>
      </c>
      <c r="K103" s="44">
        <v>4</v>
      </c>
    </row>
    <row r="104" spans="1:11" ht="20.100000000000001" customHeight="1">
      <c r="A104" s="37">
        <v>101</v>
      </c>
      <c r="B104" s="42" t="s">
        <v>1446</v>
      </c>
      <c r="C104" s="42">
        <v>40252690</v>
      </c>
      <c r="D104" s="42" t="s">
        <v>1451</v>
      </c>
      <c r="E104" s="42" t="s">
        <v>1452</v>
      </c>
      <c r="F104" s="42"/>
      <c r="G104" s="42">
        <v>4</v>
      </c>
      <c r="H104" s="43">
        <v>56.77</v>
      </c>
      <c r="I104" s="43">
        <f t="shared" si="2"/>
        <v>227.08</v>
      </c>
      <c r="J104" s="42" t="s">
        <v>14</v>
      </c>
      <c r="K104" s="44">
        <v>4</v>
      </c>
    </row>
    <row r="105" spans="1:11" ht="20.100000000000001" customHeight="1">
      <c r="A105" s="41">
        <v>102</v>
      </c>
      <c r="B105" s="42" t="s">
        <v>1446</v>
      </c>
      <c r="C105" s="42">
        <v>40252667</v>
      </c>
      <c r="D105" s="42" t="s">
        <v>1453</v>
      </c>
      <c r="E105" s="42" t="s">
        <v>1454</v>
      </c>
      <c r="F105" s="42"/>
      <c r="G105" s="42">
        <v>5</v>
      </c>
      <c r="H105" s="43">
        <v>26.44</v>
      </c>
      <c r="I105" s="43">
        <f t="shared" si="2"/>
        <v>132.20000000000002</v>
      </c>
      <c r="J105" s="42" t="s">
        <v>14</v>
      </c>
      <c r="K105" s="44">
        <v>5</v>
      </c>
    </row>
    <row r="106" spans="1:11" ht="20.100000000000001" customHeight="1">
      <c r="A106" s="37">
        <v>103</v>
      </c>
      <c r="B106" s="42" t="s">
        <v>1446</v>
      </c>
      <c r="C106" s="42">
        <v>40252672</v>
      </c>
      <c r="D106" s="42" t="s">
        <v>1455</v>
      </c>
      <c r="E106" s="42" t="s">
        <v>1456</v>
      </c>
      <c r="F106" s="42"/>
      <c r="G106" s="42">
        <v>5</v>
      </c>
      <c r="H106" s="43">
        <v>2.29</v>
      </c>
      <c r="I106" s="43">
        <f t="shared" si="2"/>
        <v>11.45</v>
      </c>
      <c r="J106" s="42" t="s">
        <v>14</v>
      </c>
      <c r="K106" s="44">
        <v>2</v>
      </c>
    </row>
    <row r="107" spans="1:11" ht="20.100000000000001" customHeight="1">
      <c r="A107" s="41">
        <v>104</v>
      </c>
      <c r="B107" s="42" t="s">
        <v>1446</v>
      </c>
      <c r="C107" s="42">
        <v>40252673</v>
      </c>
      <c r="D107" s="42" t="s">
        <v>1457</v>
      </c>
      <c r="E107" s="42" t="s">
        <v>1458</v>
      </c>
      <c r="F107" s="42"/>
      <c r="G107" s="42">
        <v>9</v>
      </c>
      <c r="H107" s="43">
        <v>1.76</v>
      </c>
      <c r="I107" s="43">
        <f t="shared" si="2"/>
        <v>15.84</v>
      </c>
      <c r="J107" s="42" t="s">
        <v>14</v>
      </c>
      <c r="K107" s="44">
        <v>9</v>
      </c>
    </row>
    <row r="108" spans="1:11" ht="20.100000000000001" customHeight="1">
      <c r="A108" s="37">
        <v>105</v>
      </c>
      <c r="B108" s="42" t="s">
        <v>1459</v>
      </c>
      <c r="C108" s="42">
        <v>40252668</v>
      </c>
      <c r="D108" s="42" t="s">
        <v>1460</v>
      </c>
      <c r="E108" s="42" t="s">
        <v>1461</v>
      </c>
      <c r="F108" s="42"/>
      <c r="G108" s="42">
        <v>5</v>
      </c>
      <c r="H108" s="43">
        <v>19.149999999999999</v>
      </c>
      <c r="I108" s="43">
        <f t="shared" si="2"/>
        <v>95.75</v>
      </c>
      <c r="J108" s="42" t="s">
        <v>14</v>
      </c>
      <c r="K108" s="44">
        <v>3</v>
      </c>
    </row>
    <row r="109" spans="1:11" ht="20.100000000000001" customHeight="1">
      <c r="A109" s="41">
        <v>106</v>
      </c>
      <c r="B109" s="42" t="s">
        <v>1459</v>
      </c>
      <c r="C109" s="42">
        <v>40252689</v>
      </c>
      <c r="D109" s="42" t="s">
        <v>1462</v>
      </c>
      <c r="E109" s="42" t="s">
        <v>1463</v>
      </c>
      <c r="F109" s="42"/>
      <c r="G109" s="42">
        <v>4</v>
      </c>
      <c r="H109" s="43">
        <v>5.32</v>
      </c>
      <c r="I109" s="43">
        <f t="shared" si="2"/>
        <v>21.28</v>
      </c>
      <c r="J109" s="42" t="s">
        <v>14</v>
      </c>
      <c r="K109" s="44">
        <v>4</v>
      </c>
    </row>
    <row r="110" spans="1:11" ht="20.100000000000001" customHeight="1">
      <c r="A110" s="37">
        <v>107</v>
      </c>
      <c r="B110" s="42" t="s">
        <v>1459</v>
      </c>
      <c r="C110" s="42">
        <v>40255103</v>
      </c>
      <c r="D110" s="42" t="s">
        <v>1464</v>
      </c>
      <c r="E110" s="42" t="s">
        <v>1465</v>
      </c>
      <c r="F110" s="42"/>
      <c r="G110" s="42">
        <v>5</v>
      </c>
      <c r="H110" s="43">
        <v>71.02</v>
      </c>
      <c r="I110" s="43">
        <f t="shared" si="2"/>
        <v>355.09999999999997</v>
      </c>
      <c r="J110" s="42" t="s">
        <v>14</v>
      </c>
      <c r="K110" s="44">
        <v>2</v>
      </c>
    </row>
    <row r="111" spans="1:11" ht="20.100000000000001" customHeight="1">
      <c r="A111" s="41">
        <v>108</v>
      </c>
      <c r="B111" s="42" t="s">
        <v>1466</v>
      </c>
      <c r="C111" s="42">
        <v>40678748</v>
      </c>
      <c r="D111" s="42" t="s">
        <v>1467</v>
      </c>
      <c r="E111" s="42" t="s">
        <v>1468</v>
      </c>
      <c r="F111" s="42" t="s">
        <v>1469</v>
      </c>
      <c r="G111" s="42">
        <v>2</v>
      </c>
      <c r="H111" s="43">
        <v>39.799999999999997</v>
      </c>
      <c r="I111" s="43">
        <f t="shared" si="2"/>
        <v>79.599999999999994</v>
      </c>
      <c r="J111" s="42" t="s">
        <v>59</v>
      </c>
      <c r="K111" s="44">
        <v>2</v>
      </c>
    </row>
    <row r="112" spans="1:11" ht="20.100000000000001" customHeight="1">
      <c r="A112" s="37">
        <v>109</v>
      </c>
      <c r="B112" s="42" t="s">
        <v>1470</v>
      </c>
      <c r="C112" s="42" t="s">
        <v>1471</v>
      </c>
      <c r="D112" s="42" t="s">
        <v>1472</v>
      </c>
      <c r="E112" s="42" t="s">
        <v>1473</v>
      </c>
      <c r="F112" s="42" t="s">
        <v>1474</v>
      </c>
      <c r="G112" s="42">
        <v>3</v>
      </c>
      <c r="H112" s="43"/>
      <c r="I112" s="43">
        <f t="shared" si="2"/>
        <v>0</v>
      </c>
      <c r="J112" s="42" t="s">
        <v>59</v>
      </c>
      <c r="K112" s="44">
        <v>3</v>
      </c>
    </row>
    <row r="113" spans="1:11" ht="20.100000000000001" customHeight="1">
      <c r="A113" s="41">
        <v>110</v>
      </c>
      <c r="B113" s="42" t="s">
        <v>1470</v>
      </c>
      <c r="C113" s="42" t="s">
        <v>1475</v>
      </c>
      <c r="D113" s="42" t="s">
        <v>1472</v>
      </c>
      <c r="E113" s="42" t="s">
        <v>1473</v>
      </c>
      <c r="F113" s="42" t="s">
        <v>1476</v>
      </c>
      <c r="G113" s="42">
        <v>2</v>
      </c>
      <c r="H113" s="43"/>
      <c r="I113" s="43">
        <f t="shared" si="2"/>
        <v>0</v>
      </c>
      <c r="J113" s="42" t="s">
        <v>59</v>
      </c>
      <c r="K113" s="44">
        <v>2</v>
      </c>
    </row>
    <row r="114" spans="1:11" ht="20.100000000000001" customHeight="1">
      <c r="A114" s="37">
        <v>111</v>
      </c>
      <c r="B114" s="42" t="s">
        <v>1477</v>
      </c>
      <c r="C114" s="42" t="s">
        <v>1478</v>
      </c>
      <c r="D114" s="42" t="s">
        <v>1472</v>
      </c>
      <c r="E114" s="42" t="s">
        <v>1473</v>
      </c>
      <c r="F114" s="42" t="s">
        <v>1479</v>
      </c>
      <c r="G114" s="42">
        <v>3</v>
      </c>
      <c r="H114" s="43"/>
      <c r="I114" s="43">
        <f t="shared" si="2"/>
        <v>0</v>
      </c>
      <c r="J114" s="42" t="s">
        <v>14</v>
      </c>
      <c r="K114" s="44">
        <v>3</v>
      </c>
    </row>
    <row r="115" spans="1:11" ht="20.100000000000001" customHeight="1">
      <c r="A115" s="41">
        <v>112</v>
      </c>
      <c r="B115" s="42" t="s">
        <v>1480</v>
      </c>
      <c r="C115" s="42">
        <v>40779836</v>
      </c>
      <c r="D115" s="42" t="s">
        <v>1481</v>
      </c>
      <c r="E115" s="42" t="s">
        <v>1482</v>
      </c>
      <c r="F115" s="42"/>
      <c r="G115" s="42">
        <v>5</v>
      </c>
      <c r="H115" s="43">
        <v>92.77</v>
      </c>
      <c r="I115" s="43">
        <f t="shared" si="2"/>
        <v>463.84999999999997</v>
      </c>
      <c r="J115" s="42" t="s">
        <v>14</v>
      </c>
      <c r="K115" s="44">
        <v>5</v>
      </c>
    </row>
    <row r="116" spans="1:11" ht="20.100000000000001" customHeight="1">
      <c r="A116" s="37">
        <v>113</v>
      </c>
      <c r="B116" s="42" t="s">
        <v>1483</v>
      </c>
      <c r="C116" s="42">
        <v>40671603</v>
      </c>
      <c r="D116" s="42" t="s">
        <v>1484</v>
      </c>
      <c r="E116" s="42" t="s">
        <v>1485</v>
      </c>
      <c r="F116" s="42"/>
      <c r="G116" s="42">
        <v>16</v>
      </c>
      <c r="H116" s="43">
        <v>116.34</v>
      </c>
      <c r="I116" s="43">
        <f t="shared" si="2"/>
        <v>1861.44</v>
      </c>
      <c r="J116" s="42" t="s">
        <v>14</v>
      </c>
      <c r="K116" s="44">
        <v>16</v>
      </c>
    </row>
    <row r="117" spans="1:11" ht="20.100000000000001" customHeight="1">
      <c r="A117" s="37"/>
      <c r="B117" s="42" t="s">
        <v>1790</v>
      </c>
      <c r="C117" s="42" t="s">
        <v>3434</v>
      </c>
      <c r="D117" s="42"/>
      <c r="E117" s="42"/>
      <c r="F117" s="42"/>
      <c r="G117" s="42">
        <v>100</v>
      </c>
      <c r="H117" s="43"/>
      <c r="I117" s="43"/>
      <c r="J117" s="42" t="s">
        <v>14</v>
      </c>
      <c r="K117" s="44">
        <v>100</v>
      </c>
    </row>
    <row r="118" spans="1:11" ht="20.100000000000001" customHeight="1">
      <c r="A118" s="41">
        <v>114</v>
      </c>
      <c r="B118" s="42" t="s">
        <v>1486</v>
      </c>
      <c r="C118" s="42">
        <v>40025713</v>
      </c>
      <c r="D118" s="42" t="s">
        <v>1487</v>
      </c>
      <c r="E118" s="42" t="s">
        <v>1488</v>
      </c>
      <c r="F118" s="42" t="s">
        <v>1489</v>
      </c>
      <c r="G118" s="42">
        <v>1</v>
      </c>
      <c r="H118" s="43">
        <v>216.74</v>
      </c>
      <c r="I118" s="43">
        <f t="shared" si="2"/>
        <v>216.74</v>
      </c>
      <c r="J118" s="42" t="s">
        <v>14</v>
      </c>
      <c r="K118" s="44" t="s">
        <v>1490</v>
      </c>
    </row>
    <row r="119" spans="1:11" ht="20.100000000000001" customHeight="1">
      <c r="A119" s="37">
        <v>115</v>
      </c>
      <c r="B119" s="42" t="s">
        <v>1491</v>
      </c>
      <c r="C119" s="42">
        <v>40098132</v>
      </c>
      <c r="D119" s="42" t="s">
        <v>1492</v>
      </c>
      <c r="E119" s="42" t="s">
        <v>1493</v>
      </c>
      <c r="F119" s="42" t="s">
        <v>1494</v>
      </c>
      <c r="G119" s="42">
        <v>1</v>
      </c>
      <c r="H119" s="43">
        <v>44.65</v>
      </c>
      <c r="I119" s="43">
        <f t="shared" si="2"/>
        <v>44.65</v>
      </c>
      <c r="J119" s="42" t="s">
        <v>14</v>
      </c>
      <c r="K119" s="44" t="s">
        <v>1495</v>
      </c>
    </row>
    <row r="120" spans="1:11" ht="20.100000000000001" customHeight="1">
      <c r="A120" s="41">
        <v>116</v>
      </c>
      <c r="B120" s="42" t="s">
        <v>1496</v>
      </c>
      <c r="C120" s="42">
        <v>40502137</v>
      </c>
      <c r="D120" s="42" t="s">
        <v>1497</v>
      </c>
      <c r="E120" s="42" t="s">
        <v>1498</v>
      </c>
      <c r="F120" s="42" t="s">
        <v>1499</v>
      </c>
      <c r="G120" s="42">
        <v>2</v>
      </c>
      <c r="H120" s="43">
        <v>106.42</v>
      </c>
      <c r="I120" s="43">
        <f t="shared" si="2"/>
        <v>212.84</v>
      </c>
      <c r="J120" s="42" t="s">
        <v>14</v>
      </c>
      <c r="K120" s="44" t="s">
        <v>1500</v>
      </c>
    </row>
    <row r="121" spans="1:11" ht="20.100000000000001" customHeight="1">
      <c r="A121" s="37">
        <v>117</v>
      </c>
      <c r="B121" s="42" t="s">
        <v>1501</v>
      </c>
      <c r="C121" s="42">
        <v>40628060</v>
      </c>
      <c r="D121" s="42" t="s">
        <v>1502</v>
      </c>
      <c r="E121" s="42" t="s">
        <v>1503</v>
      </c>
      <c r="F121" s="42" t="s">
        <v>1504</v>
      </c>
      <c r="G121" s="42">
        <v>1</v>
      </c>
      <c r="H121" s="43">
        <v>97.45</v>
      </c>
      <c r="I121" s="43">
        <f t="shared" si="2"/>
        <v>97.45</v>
      </c>
      <c r="J121" s="42" t="s">
        <v>14</v>
      </c>
      <c r="K121" s="44" t="s">
        <v>1505</v>
      </c>
    </row>
    <row r="122" spans="1:11" ht="20.100000000000001" customHeight="1">
      <c r="A122" s="41">
        <v>118</v>
      </c>
      <c r="B122" s="42" t="s">
        <v>1506</v>
      </c>
      <c r="C122" s="42" t="s">
        <v>1507</v>
      </c>
      <c r="D122" s="42"/>
      <c r="E122" s="42" t="s">
        <v>1382</v>
      </c>
      <c r="F122" s="50" t="s">
        <v>1508</v>
      </c>
      <c r="G122" s="42">
        <v>1</v>
      </c>
      <c r="H122" s="43"/>
      <c r="I122" s="43">
        <f t="shared" si="2"/>
        <v>0</v>
      </c>
      <c r="J122" s="42" t="s">
        <v>14</v>
      </c>
      <c r="K122" s="44" t="s">
        <v>1507</v>
      </c>
    </row>
    <row r="123" spans="1:11" ht="20.100000000000001" customHeight="1">
      <c r="A123" s="37">
        <v>119</v>
      </c>
      <c r="B123" s="42" t="s">
        <v>1509</v>
      </c>
      <c r="C123" s="42">
        <v>40603146</v>
      </c>
      <c r="D123" s="42" t="s">
        <v>1510</v>
      </c>
      <c r="E123" s="42" t="s">
        <v>1511</v>
      </c>
      <c r="F123" s="42" t="s">
        <v>1512</v>
      </c>
      <c r="G123" s="42">
        <v>1</v>
      </c>
      <c r="H123" s="43">
        <v>34.799999999999997</v>
      </c>
      <c r="I123" s="43">
        <f t="shared" si="2"/>
        <v>34.799999999999997</v>
      </c>
      <c r="J123" s="42" t="s">
        <v>14</v>
      </c>
      <c r="K123" s="44" t="s">
        <v>1513</v>
      </c>
    </row>
    <row r="124" spans="1:11" ht="20.100000000000001" customHeight="1">
      <c r="A124" s="41">
        <v>120</v>
      </c>
      <c r="B124" s="42" t="s">
        <v>1514</v>
      </c>
      <c r="C124" s="42">
        <v>40261779</v>
      </c>
      <c r="D124" s="42" t="s">
        <v>1515</v>
      </c>
      <c r="E124" s="42" t="s">
        <v>1516</v>
      </c>
      <c r="F124" s="42" t="s">
        <v>1517</v>
      </c>
      <c r="G124" s="42">
        <v>1</v>
      </c>
      <c r="H124" s="43">
        <v>37.51</v>
      </c>
      <c r="I124" s="43">
        <f t="shared" si="2"/>
        <v>37.51</v>
      </c>
      <c r="J124" s="42" t="s">
        <v>14</v>
      </c>
      <c r="K124" s="44" t="s">
        <v>1518</v>
      </c>
    </row>
    <row r="125" spans="1:11" ht="20.100000000000001" customHeight="1">
      <c r="A125" s="37">
        <v>121</v>
      </c>
      <c r="B125" s="42" t="s">
        <v>1519</v>
      </c>
      <c r="C125" s="42">
        <v>40607126</v>
      </c>
      <c r="D125" s="42" t="s">
        <v>1520</v>
      </c>
      <c r="E125" s="42" t="s">
        <v>1521</v>
      </c>
      <c r="F125" s="42" t="s">
        <v>1522</v>
      </c>
      <c r="G125" s="42">
        <v>2</v>
      </c>
      <c r="H125" s="43">
        <v>24.38</v>
      </c>
      <c r="I125" s="43">
        <f t="shared" si="2"/>
        <v>48.76</v>
      </c>
      <c r="J125" s="42" t="s">
        <v>14</v>
      </c>
      <c r="K125" s="44" t="s">
        <v>1523</v>
      </c>
    </row>
    <row r="126" spans="1:11" ht="20.100000000000001" customHeight="1">
      <c r="A126" s="41">
        <v>122</v>
      </c>
      <c r="B126" s="42" t="s">
        <v>1524</v>
      </c>
      <c r="C126" s="42">
        <v>40501786</v>
      </c>
      <c r="D126" s="42" t="s">
        <v>1525</v>
      </c>
      <c r="E126" s="42" t="s">
        <v>1526</v>
      </c>
      <c r="F126" s="42" t="s">
        <v>1527</v>
      </c>
      <c r="G126" s="42">
        <v>1</v>
      </c>
      <c r="H126" s="43">
        <v>321.83</v>
      </c>
      <c r="I126" s="43">
        <f t="shared" si="2"/>
        <v>321.83</v>
      </c>
      <c r="J126" s="42" t="s">
        <v>14</v>
      </c>
      <c r="K126" s="44" t="s">
        <v>1528</v>
      </c>
    </row>
    <row r="127" spans="1:11" ht="20.100000000000001" customHeight="1">
      <c r="A127" s="37">
        <v>123</v>
      </c>
      <c r="B127" s="42" t="s">
        <v>1529</v>
      </c>
      <c r="C127" s="42">
        <v>40628059</v>
      </c>
      <c r="D127" s="42" t="s">
        <v>1530</v>
      </c>
      <c r="E127" s="42" t="s">
        <v>1531</v>
      </c>
      <c r="F127" s="42" t="s">
        <v>1532</v>
      </c>
      <c r="G127" s="42">
        <v>2</v>
      </c>
      <c r="H127" s="43">
        <v>56.72</v>
      </c>
      <c r="I127" s="43">
        <f t="shared" si="2"/>
        <v>113.44</v>
      </c>
      <c r="J127" s="42" t="s">
        <v>14</v>
      </c>
      <c r="K127" s="44" t="s">
        <v>1533</v>
      </c>
    </row>
    <row r="128" spans="1:11" ht="20.100000000000001" customHeight="1">
      <c r="A128" s="41">
        <v>124</v>
      </c>
      <c r="B128" s="42" t="s">
        <v>1534</v>
      </c>
      <c r="C128" s="42">
        <v>40086933</v>
      </c>
      <c r="D128" s="42" t="s">
        <v>1535</v>
      </c>
      <c r="E128" s="42" t="s">
        <v>1536</v>
      </c>
      <c r="F128" s="42" t="s">
        <v>1537</v>
      </c>
      <c r="G128" s="42">
        <v>2</v>
      </c>
      <c r="H128" s="43">
        <v>59.68</v>
      </c>
      <c r="I128" s="43">
        <f t="shared" si="2"/>
        <v>119.36</v>
      </c>
      <c r="J128" s="42" t="s">
        <v>14</v>
      </c>
      <c r="K128" s="44" t="s">
        <v>1538</v>
      </c>
    </row>
    <row r="129" spans="1:11" ht="20.100000000000001" customHeight="1">
      <c r="A129" s="37">
        <v>125</v>
      </c>
      <c r="B129" s="42" t="s">
        <v>1539</v>
      </c>
      <c r="C129" s="42">
        <v>40098131</v>
      </c>
      <c r="D129" s="42" t="s">
        <v>1540</v>
      </c>
      <c r="E129" s="42" t="s">
        <v>1541</v>
      </c>
      <c r="F129" s="42" t="s">
        <v>1542</v>
      </c>
      <c r="G129" s="42">
        <v>2</v>
      </c>
      <c r="H129" s="43">
        <v>21.24</v>
      </c>
      <c r="I129" s="43">
        <f t="shared" si="2"/>
        <v>42.48</v>
      </c>
      <c r="J129" s="42" t="s">
        <v>14</v>
      </c>
      <c r="K129" s="44" t="s">
        <v>1543</v>
      </c>
    </row>
    <row r="130" spans="1:11" ht="20.100000000000001" customHeight="1">
      <c r="A130" s="41">
        <v>126</v>
      </c>
      <c r="B130" s="42" t="s">
        <v>1544</v>
      </c>
      <c r="C130" s="42">
        <v>40628061</v>
      </c>
      <c r="D130" s="42" t="s">
        <v>1545</v>
      </c>
      <c r="E130" s="42" t="s">
        <v>1546</v>
      </c>
      <c r="F130" s="42" t="s">
        <v>1547</v>
      </c>
      <c r="G130" s="42">
        <v>2</v>
      </c>
      <c r="H130" s="43">
        <v>110.08</v>
      </c>
      <c r="I130" s="43">
        <f t="shared" si="2"/>
        <v>220.16</v>
      </c>
      <c r="J130" s="42" t="s">
        <v>14</v>
      </c>
      <c r="K130" s="44" t="s">
        <v>1548</v>
      </c>
    </row>
    <row r="131" spans="1:11" ht="20.100000000000001" customHeight="1">
      <c r="A131" s="37">
        <v>127</v>
      </c>
      <c r="B131" s="42" t="s">
        <v>1549</v>
      </c>
      <c r="C131" s="42">
        <v>40110985</v>
      </c>
      <c r="D131" s="42" t="s">
        <v>1550</v>
      </c>
      <c r="E131" s="42" t="s">
        <v>1551</v>
      </c>
      <c r="F131" s="42" t="s">
        <v>1552</v>
      </c>
      <c r="G131" s="42">
        <v>2</v>
      </c>
      <c r="H131" s="43">
        <v>82.41</v>
      </c>
      <c r="I131" s="43">
        <f t="shared" si="2"/>
        <v>164.82</v>
      </c>
      <c r="J131" s="42" t="s">
        <v>14</v>
      </c>
      <c r="K131" s="44" t="s">
        <v>1553</v>
      </c>
    </row>
    <row r="132" spans="1:11" ht="20.100000000000001" customHeight="1">
      <c r="A132" s="41">
        <v>128</v>
      </c>
      <c r="B132" s="42" t="s">
        <v>1554</v>
      </c>
      <c r="C132" s="42">
        <v>40010907</v>
      </c>
      <c r="D132" s="42" t="s">
        <v>1555</v>
      </c>
      <c r="E132" s="42" t="s">
        <v>1556</v>
      </c>
      <c r="F132" s="42" t="s">
        <v>1557</v>
      </c>
      <c r="G132" s="42">
        <v>2</v>
      </c>
      <c r="H132" s="43">
        <v>128.59</v>
      </c>
      <c r="I132" s="43">
        <f t="shared" si="2"/>
        <v>257.18</v>
      </c>
      <c r="J132" s="42" t="s">
        <v>14</v>
      </c>
      <c r="K132" s="44" t="s">
        <v>1558</v>
      </c>
    </row>
    <row r="133" spans="1:11" ht="20.100000000000001" customHeight="1">
      <c r="A133" s="37">
        <v>129</v>
      </c>
      <c r="B133" s="42" t="s">
        <v>1559</v>
      </c>
      <c r="C133" s="42">
        <v>40620643</v>
      </c>
      <c r="D133" s="42" t="s">
        <v>1560</v>
      </c>
      <c r="E133" s="42" t="s">
        <v>1561</v>
      </c>
      <c r="F133" s="42"/>
      <c r="G133" s="42">
        <v>7</v>
      </c>
      <c r="H133" s="43">
        <v>322.22000000000003</v>
      </c>
      <c r="I133" s="43">
        <f t="shared" si="2"/>
        <v>2255.54</v>
      </c>
      <c r="J133" s="42" t="s">
        <v>14</v>
      </c>
      <c r="K133" s="44">
        <v>7</v>
      </c>
    </row>
    <row r="134" spans="1:11" ht="20.100000000000001" customHeight="1">
      <c r="A134" s="41">
        <v>130</v>
      </c>
      <c r="B134" s="42" t="s">
        <v>1562</v>
      </c>
      <c r="C134" s="42">
        <v>40799710</v>
      </c>
      <c r="D134" s="42" t="s">
        <v>1563</v>
      </c>
      <c r="E134" s="42" t="s">
        <v>1564</v>
      </c>
      <c r="F134" s="42" t="s">
        <v>1565</v>
      </c>
      <c r="G134" s="42">
        <v>1</v>
      </c>
      <c r="H134" s="43">
        <v>136.94999999999999</v>
      </c>
      <c r="I134" s="43">
        <f t="shared" si="2"/>
        <v>136.94999999999999</v>
      </c>
      <c r="J134" s="42" t="s">
        <v>14</v>
      </c>
      <c r="K134" s="44">
        <v>1</v>
      </c>
    </row>
    <row r="135" spans="1:11" ht="20.100000000000001" customHeight="1">
      <c r="A135" s="37">
        <v>131</v>
      </c>
      <c r="B135" s="42" t="s">
        <v>1566</v>
      </c>
      <c r="C135" s="42">
        <v>40799708</v>
      </c>
      <c r="D135" s="42" t="s">
        <v>1567</v>
      </c>
      <c r="E135" s="42" t="s">
        <v>1568</v>
      </c>
      <c r="F135" s="42" t="s">
        <v>1569</v>
      </c>
      <c r="G135" s="42">
        <v>2</v>
      </c>
      <c r="H135" s="43">
        <v>276.14999999999998</v>
      </c>
      <c r="I135" s="43">
        <f t="shared" si="2"/>
        <v>552.29999999999995</v>
      </c>
      <c r="J135" s="42" t="s">
        <v>14</v>
      </c>
      <c r="K135" s="44">
        <v>2</v>
      </c>
    </row>
    <row r="136" spans="1:11" ht="20.100000000000001" customHeight="1">
      <c r="A136" s="41">
        <v>132</v>
      </c>
      <c r="B136" s="42" t="s">
        <v>1570</v>
      </c>
      <c r="C136" s="45">
        <v>130800419</v>
      </c>
      <c r="D136" s="45" t="s">
        <v>177</v>
      </c>
      <c r="E136" s="42"/>
      <c r="F136" s="46"/>
      <c r="G136" s="42">
        <v>1</v>
      </c>
      <c r="H136" s="43">
        <f>VLOOKUP(C136,[1]Sheet4!$B$2:$H$344,7,FALSE)</f>
        <v>236.24</v>
      </c>
      <c r="I136" s="43">
        <f t="shared" si="2"/>
        <v>236.24</v>
      </c>
      <c r="J136" s="45" t="s">
        <v>59</v>
      </c>
      <c r="K136" s="44">
        <v>1</v>
      </c>
    </row>
    <row r="137" spans="1:11" ht="20.100000000000001" customHeight="1">
      <c r="A137" s="37">
        <v>133</v>
      </c>
      <c r="B137" s="42" t="s">
        <v>1571</v>
      </c>
      <c r="C137" s="45" t="s">
        <v>1572</v>
      </c>
      <c r="D137" s="45" t="s">
        <v>1573</v>
      </c>
      <c r="E137" s="42"/>
      <c r="F137" s="46"/>
      <c r="G137" s="42">
        <v>10</v>
      </c>
      <c r="H137" s="43"/>
      <c r="I137" s="43">
        <f t="shared" si="2"/>
        <v>0</v>
      </c>
      <c r="J137" s="45"/>
      <c r="K137" s="44">
        <v>9</v>
      </c>
    </row>
    <row r="138" spans="1:11" ht="20.100000000000001" customHeight="1">
      <c r="A138" s="37"/>
      <c r="B138" s="42" t="s">
        <v>3431</v>
      </c>
      <c r="C138" s="45">
        <v>170100012</v>
      </c>
      <c r="D138" s="45" t="s">
        <v>1230</v>
      </c>
      <c r="E138" s="42"/>
      <c r="F138" s="46"/>
      <c r="G138" s="42">
        <v>981</v>
      </c>
      <c r="H138" s="43"/>
      <c r="I138" s="43">
        <f t="shared" si="2"/>
        <v>0</v>
      </c>
      <c r="J138" s="45" t="s">
        <v>14</v>
      </c>
      <c r="K138" s="44">
        <v>917</v>
      </c>
    </row>
    <row r="139" spans="1:11" ht="20.100000000000001" customHeight="1">
      <c r="A139" s="41">
        <v>134</v>
      </c>
      <c r="B139" s="42" t="s">
        <v>1574</v>
      </c>
      <c r="C139" s="45">
        <v>130400334</v>
      </c>
      <c r="D139" s="45" t="s">
        <v>1575</v>
      </c>
      <c r="E139" s="42"/>
      <c r="F139" s="46"/>
      <c r="G139" s="42">
        <v>13</v>
      </c>
      <c r="H139" s="43">
        <f>VLOOKUP(C139,[1]Sheet4!$B$2:$H$344,7,FALSE)</f>
        <v>6.87</v>
      </c>
      <c r="I139" s="43">
        <f t="shared" si="2"/>
        <v>89.31</v>
      </c>
      <c r="J139" s="45" t="s">
        <v>14</v>
      </c>
      <c r="K139" s="44">
        <v>13</v>
      </c>
    </row>
    <row r="140" spans="1:11" ht="20.100000000000001" customHeight="1">
      <c r="A140" s="37">
        <v>135</v>
      </c>
      <c r="B140" s="42" t="s">
        <v>1576</v>
      </c>
      <c r="C140" s="42" t="s">
        <v>1577</v>
      </c>
      <c r="D140" s="42" t="s">
        <v>1578</v>
      </c>
      <c r="E140" s="42" t="s">
        <v>1579</v>
      </c>
      <c r="F140" s="42" t="s">
        <v>1580</v>
      </c>
      <c r="G140" s="42">
        <v>2</v>
      </c>
      <c r="H140" s="43"/>
      <c r="I140" s="43">
        <f t="shared" si="2"/>
        <v>0</v>
      </c>
      <c r="J140" s="42" t="s">
        <v>14</v>
      </c>
      <c r="K140" s="44">
        <v>2</v>
      </c>
    </row>
    <row r="141" spans="1:11" ht="20.100000000000001" customHeight="1">
      <c r="A141" s="41">
        <v>136</v>
      </c>
      <c r="B141" s="42" t="s">
        <v>1581</v>
      </c>
      <c r="C141" s="42" t="s">
        <v>1582</v>
      </c>
      <c r="D141" s="42" t="s">
        <v>1578</v>
      </c>
      <c r="E141" s="42" t="s">
        <v>1579</v>
      </c>
      <c r="F141" s="42" t="s">
        <v>1583</v>
      </c>
      <c r="G141" s="42">
        <v>2</v>
      </c>
      <c r="H141" s="43"/>
      <c r="I141" s="43">
        <f t="shared" si="2"/>
        <v>0</v>
      </c>
      <c r="J141" s="42" t="s">
        <v>14</v>
      </c>
      <c r="K141" s="44">
        <v>2</v>
      </c>
    </row>
    <row r="142" spans="1:11" ht="20.100000000000001" customHeight="1">
      <c r="A142" s="37">
        <v>137</v>
      </c>
      <c r="B142" s="42" t="s">
        <v>1584</v>
      </c>
      <c r="C142" s="42">
        <v>40539168</v>
      </c>
      <c r="D142" s="42" t="s">
        <v>1585</v>
      </c>
      <c r="E142" s="42" t="s">
        <v>1586</v>
      </c>
      <c r="F142" s="42"/>
      <c r="G142" s="42">
        <v>2</v>
      </c>
      <c r="H142" s="43">
        <v>28627.09</v>
      </c>
      <c r="I142" s="43">
        <f t="shared" si="2"/>
        <v>57254.18</v>
      </c>
      <c r="J142" s="42" t="s">
        <v>14</v>
      </c>
      <c r="K142" s="44">
        <v>2</v>
      </c>
    </row>
    <row r="143" spans="1:11" ht="20.100000000000001" customHeight="1">
      <c r="A143" s="41">
        <v>138</v>
      </c>
      <c r="B143" s="42" t="s">
        <v>1587</v>
      </c>
      <c r="C143" s="45">
        <v>17100972</v>
      </c>
      <c r="D143" s="45"/>
      <c r="E143" s="42"/>
      <c r="F143" s="46"/>
      <c r="G143" s="42">
        <v>1</v>
      </c>
      <c r="H143" s="43" t="e">
        <f>VLOOKUP(C143,[1]Sheet4!$B$2:$H$344,7,FALSE)</f>
        <v>#N/A</v>
      </c>
      <c r="I143" s="43" t="e">
        <f t="shared" si="2"/>
        <v>#N/A</v>
      </c>
      <c r="J143" s="45"/>
      <c r="K143" s="44">
        <v>1</v>
      </c>
    </row>
    <row r="144" spans="1:11" ht="20.100000000000001" customHeight="1">
      <c r="A144" s="37">
        <v>139</v>
      </c>
      <c r="B144" s="42" t="s">
        <v>1588</v>
      </c>
      <c r="C144" s="42">
        <v>40677268</v>
      </c>
      <c r="D144" s="42" t="s">
        <v>1589</v>
      </c>
      <c r="E144" s="42" t="s">
        <v>1590</v>
      </c>
      <c r="F144" s="42" t="s">
        <v>1591</v>
      </c>
      <c r="G144" s="42">
        <v>10</v>
      </c>
      <c r="H144" s="43">
        <v>201.46</v>
      </c>
      <c r="I144" s="43">
        <f t="shared" si="2"/>
        <v>2014.6000000000001</v>
      </c>
      <c r="J144" s="42" t="s">
        <v>14</v>
      </c>
      <c r="K144" s="44">
        <v>8</v>
      </c>
    </row>
    <row r="145" spans="1:11" ht="20.100000000000001" customHeight="1">
      <c r="A145" s="41">
        <v>140</v>
      </c>
      <c r="B145" s="42" t="s">
        <v>1592</v>
      </c>
      <c r="C145" s="45">
        <v>140200453</v>
      </c>
      <c r="D145" s="45" t="s">
        <v>1593</v>
      </c>
      <c r="E145" s="42"/>
      <c r="F145" s="46"/>
      <c r="G145" s="42">
        <v>97</v>
      </c>
      <c r="H145" s="43">
        <f>VLOOKUP(C145,[1]Sheet4!$B$2:$H$344,7,FALSE)</f>
        <v>2.5299999999999998</v>
      </c>
      <c r="I145" s="43">
        <f t="shared" si="2"/>
        <v>245.40999999999997</v>
      </c>
      <c r="J145" s="45" t="s">
        <v>14</v>
      </c>
      <c r="K145" s="44">
        <v>97</v>
      </c>
    </row>
    <row r="146" spans="1:11" ht="20.100000000000001" customHeight="1">
      <c r="A146" s="37">
        <v>141</v>
      </c>
      <c r="B146" s="42" t="s">
        <v>1594</v>
      </c>
      <c r="C146" s="45">
        <v>140200454</v>
      </c>
      <c r="D146" s="45" t="s">
        <v>1595</v>
      </c>
      <c r="E146" s="42"/>
      <c r="F146" s="46"/>
      <c r="G146" s="42">
        <v>97</v>
      </c>
      <c r="H146" s="43">
        <f>VLOOKUP(C146,[1]Sheet4!$B$2:$H$344,7,FALSE)</f>
        <v>3.12</v>
      </c>
      <c r="I146" s="43">
        <f t="shared" si="2"/>
        <v>302.64</v>
      </c>
      <c r="J146" s="45" t="s">
        <v>14</v>
      </c>
      <c r="K146" s="44">
        <v>93</v>
      </c>
    </row>
    <row r="147" spans="1:11" ht="20.100000000000001" customHeight="1">
      <c r="A147" s="41">
        <v>142</v>
      </c>
      <c r="B147" s="42" t="s">
        <v>1596</v>
      </c>
      <c r="C147" s="45">
        <v>140200121</v>
      </c>
      <c r="D147" s="45" t="s">
        <v>1597</v>
      </c>
      <c r="E147" s="42"/>
      <c r="F147" s="46"/>
      <c r="G147" s="42">
        <v>40</v>
      </c>
      <c r="H147" s="43">
        <f>VLOOKUP(C147,[1]Sheet4!$B$2:$H$344,7,FALSE)</f>
        <v>1.03</v>
      </c>
      <c r="I147" s="43">
        <f t="shared" ref="I147:I152" si="3">H147*G147</f>
        <v>41.2</v>
      </c>
      <c r="J147" s="45" t="s">
        <v>14</v>
      </c>
      <c r="K147" s="44">
        <v>40</v>
      </c>
    </row>
    <row r="148" spans="1:11" ht="20.100000000000001" customHeight="1">
      <c r="A148" s="37">
        <v>143</v>
      </c>
      <c r="B148" s="42" t="s">
        <v>1596</v>
      </c>
      <c r="C148" s="45">
        <v>140200449</v>
      </c>
      <c r="D148" s="45" t="s">
        <v>1598</v>
      </c>
      <c r="E148" s="42"/>
      <c r="F148" s="46"/>
      <c r="G148" s="42">
        <v>100</v>
      </c>
      <c r="H148" s="43">
        <f>VLOOKUP(C148,[1]Sheet4!$B$2:$H$344,7,FALSE)</f>
        <v>0.78</v>
      </c>
      <c r="I148" s="43">
        <f t="shared" si="3"/>
        <v>78</v>
      </c>
      <c r="J148" s="45" t="s">
        <v>14</v>
      </c>
      <c r="K148" s="44">
        <v>100</v>
      </c>
    </row>
    <row r="149" spans="1:11" ht="20.100000000000001" customHeight="1">
      <c r="A149" s="41">
        <v>144</v>
      </c>
      <c r="B149" s="42" t="s">
        <v>1599</v>
      </c>
      <c r="C149" s="45">
        <v>140200452</v>
      </c>
      <c r="D149" s="45" t="s">
        <v>1600</v>
      </c>
      <c r="E149" s="42"/>
      <c r="F149" s="46"/>
      <c r="G149" s="42">
        <v>90</v>
      </c>
      <c r="H149" s="43">
        <f>VLOOKUP(C149,[1]Sheet4!$B$2:$H$344,7,FALSE)</f>
        <v>2.14</v>
      </c>
      <c r="I149" s="43">
        <f t="shared" si="3"/>
        <v>192.60000000000002</v>
      </c>
      <c r="J149" s="45" t="s">
        <v>14</v>
      </c>
      <c r="K149" s="44">
        <v>90</v>
      </c>
    </row>
    <row r="150" spans="1:11" ht="20.100000000000001" customHeight="1">
      <c r="A150" s="37">
        <v>145</v>
      </c>
      <c r="B150" s="42" t="s">
        <v>1601</v>
      </c>
      <c r="C150" s="45">
        <v>140200451</v>
      </c>
      <c r="D150" s="45" t="s">
        <v>1602</v>
      </c>
      <c r="E150" s="42"/>
      <c r="F150" s="46"/>
      <c r="G150" s="42">
        <v>100</v>
      </c>
      <c r="H150" s="43">
        <f>VLOOKUP(C150,[1]Sheet4!$B$2:$H$344,7,FALSE)</f>
        <v>1.63</v>
      </c>
      <c r="I150" s="43">
        <f t="shared" si="3"/>
        <v>163</v>
      </c>
      <c r="J150" s="45" t="s">
        <v>14</v>
      </c>
      <c r="K150" s="44">
        <v>100</v>
      </c>
    </row>
    <row r="151" spans="1:11" ht="20.100000000000001" customHeight="1">
      <c r="A151" s="41">
        <v>146</v>
      </c>
      <c r="B151" s="42" t="s">
        <v>1603</v>
      </c>
      <c r="C151" s="42">
        <v>40701909</v>
      </c>
      <c r="D151" s="42" t="s">
        <v>1604</v>
      </c>
      <c r="E151" s="42" t="s">
        <v>1605</v>
      </c>
      <c r="F151" s="42"/>
      <c r="G151" s="42">
        <v>10</v>
      </c>
      <c r="H151" s="43">
        <v>626.52</v>
      </c>
      <c r="I151" s="43">
        <f t="shared" si="3"/>
        <v>6265.2</v>
      </c>
      <c r="J151" s="42" t="s">
        <v>14</v>
      </c>
      <c r="K151" s="44">
        <v>10</v>
      </c>
    </row>
    <row r="152" spans="1:11" ht="20.100000000000001" customHeight="1">
      <c r="A152" s="37">
        <v>147</v>
      </c>
      <c r="B152" s="42" t="s">
        <v>1606</v>
      </c>
      <c r="C152" s="42">
        <v>40779840</v>
      </c>
      <c r="D152" s="42" t="s">
        <v>1607</v>
      </c>
      <c r="E152" s="42" t="s">
        <v>1608</v>
      </c>
      <c r="F152" s="42"/>
      <c r="G152" s="42">
        <v>204</v>
      </c>
      <c r="H152" s="43">
        <v>88.24</v>
      </c>
      <c r="I152" s="43">
        <f t="shared" si="3"/>
        <v>18000.96</v>
      </c>
      <c r="J152" s="42" t="s">
        <v>14</v>
      </c>
      <c r="K152" s="44">
        <v>204</v>
      </c>
    </row>
    <row r="153" spans="1:11" ht="20.100000000000001" customHeight="1">
      <c r="A153" s="41">
        <v>148</v>
      </c>
      <c r="B153" s="42" t="s">
        <v>1609</v>
      </c>
      <c r="C153" s="45" t="s">
        <v>1610</v>
      </c>
      <c r="D153" s="45"/>
      <c r="E153" s="42"/>
      <c r="F153" s="46"/>
      <c r="G153" s="42">
        <v>300</v>
      </c>
      <c r="H153" s="47"/>
      <c r="I153" s="47"/>
      <c r="J153" s="45" t="s">
        <v>14</v>
      </c>
      <c r="K153" s="44">
        <v>250</v>
      </c>
    </row>
    <row r="154" spans="1:11" ht="20.100000000000001" customHeight="1">
      <c r="A154" s="37">
        <v>149</v>
      </c>
      <c r="B154" s="42" t="s">
        <v>1611</v>
      </c>
      <c r="C154" s="45" t="s">
        <v>1612</v>
      </c>
      <c r="D154" s="45"/>
      <c r="E154" s="42"/>
      <c r="F154" s="46"/>
      <c r="G154" s="42">
        <v>500</v>
      </c>
      <c r="H154" s="47"/>
      <c r="I154" s="47"/>
      <c r="J154" s="45" t="s">
        <v>14</v>
      </c>
      <c r="K154" s="44">
        <v>450</v>
      </c>
    </row>
    <row r="155" spans="1:11" ht="20.100000000000001" customHeight="1">
      <c r="A155" s="41">
        <v>150</v>
      </c>
      <c r="B155" s="42" t="s">
        <v>1611</v>
      </c>
      <c r="C155" s="45">
        <v>331200237</v>
      </c>
      <c r="D155" s="45" t="s">
        <v>1613</v>
      </c>
      <c r="E155" s="42"/>
      <c r="F155" s="46"/>
      <c r="G155" s="42">
        <v>900</v>
      </c>
      <c r="H155" s="47">
        <v>0.08</v>
      </c>
      <c r="I155" s="47">
        <f t="shared" ref="I155:I218" si="4">H155*G155</f>
        <v>72</v>
      </c>
      <c r="J155" s="45" t="s">
        <v>14</v>
      </c>
      <c r="K155" s="44">
        <v>650</v>
      </c>
    </row>
    <row r="156" spans="1:11" ht="20.100000000000001" customHeight="1">
      <c r="A156" s="37">
        <v>151</v>
      </c>
      <c r="B156" s="42" t="s">
        <v>1614</v>
      </c>
      <c r="C156" s="42">
        <v>40454183</v>
      </c>
      <c r="D156" s="42" t="s">
        <v>1615</v>
      </c>
      <c r="E156" s="42" t="s">
        <v>1616</v>
      </c>
      <c r="F156" s="42"/>
      <c r="G156" s="42">
        <v>16</v>
      </c>
      <c r="H156" s="43">
        <v>70.67</v>
      </c>
      <c r="I156" s="43">
        <f t="shared" si="4"/>
        <v>1130.72</v>
      </c>
      <c r="J156" s="42" t="s">
        <v>14</v>
      </c>
      <c r="K156" s="44">
        <v>16</v>
      </c>
    </row>
    <row r="157" spans="1:11" ht="20.100000000000001" customHeight="1">
      <c r="A157" s="41">
        <v>152</v>
      </c>
      <c r="B157" s="42" t="s">
        <v>1617</v>
      </c>
      <c r="C157" s="45">
        <v>130401222</v>
      </c>
      <c r="D157" s="45" t="s">
        <v>1618</v>
      </c>
      <c r="E157" s="42"/>
      <c r="F157" s="46"/>
      <c r="G157" s="42">
        <v>14</v>
      </c>
      <c r="H157" s="43">
        <f>VLOOKUP(C157,[1]Sheet4!$B$2:$H$344,7,FALSE)</f>
        <v>0.13</v>
      </c>
      <c r="I157" s="43">
        <f t="shared" si="4"/>
        <v>1.82</v>
      </c>
      <c r="J157" s="45" t="s">
        <v>175</v>
      </c>
      <c r="K157" s="44">
        <v>4</v>
      </c>
    </row>
    <row r="158" spans="1:11" ht="20.100000000000001" customHeight="1">
      <c r="A158" s="37">
        <v>153</v>
      </c>
      <c r="B158" s="42" t="s">
        <v>1617</v>
      </c>
      <c r="C158" s="45">
        <v>130600029</v>
      </c>
      <c r="D158" s="45" t="s">
        <v>1619</v>
      </c>
      <c r="E158" s="42"/>
      <c r="F158" s="46"/>
      <c r="G158" s="42">
        <v>3</v>
      </c>
      <c r="H158" s="43">
        <f>VLOOKUP(C158,[1]Sheet4!$B$2:$H$344,7,FALSE)</f>
        <v>54.53</v>
      </c>
      <c r="I158" s="43">
        <f t="shared" si="4"/>
        <v>163.59</v>
      </c>
      <c r="J158" s="45" t="s">
        <v>14</v>
      </c>
      <c r="K158" s="44">
        <v>3</v>
      </c>
    </row>
    <row r="159" spans="1:11" ht="20.100000000000001" customHeight="1">
      <c r="A159" s="41">
        <v>154</v>
      </c>
      <c r="B159" s="42" t="s">
        <v>1620</v>
      </c>
      <c r="C159" s="45">
        <v>130401197</v>
      </c>
      <c r="D159" s="45" t="s">
        <v>1621</v>
      </c>
      <c r="E159" s="42"/>
      <c r="F159" s="46"/>
      <c r="G159" s="42">
        <v>16</v>
      </c>
      <c r="H159" s="43">
        <f>VLOOKUP(C159,[1]Sheet4!$B$2:$H$344,7,FALSE)</f>
        <v>80.08</v>
      </c>
      <c r="I159" s="43">
        <f t="shared" si="4"/>
        <v>1281.28</v>
      </c>
      <c r="J159" s="45" t="s">
        <v>59</v>
      </c>
      <c r="K159" s="44">
        <v>16</v>
      </c>
    </row>
    <row r="160" spans="1:11" ht="20.100000000000001" customHeight="1">
      <c r="A160" s="37">
        <v>155</v>
      </c>
      <c r="B160" s="42" t="s">
        <v>1622</v>
      </c>
      <c r="C160" s="45">
        <v>130400196</v>
      </c>
      <c r="D160" s="45" t="s">
        <v>1623</v>
      </c>
      <c r="E160" s="42"/>
      <c r="F160" s="46"/>
      <c r="G160" s="42">
        <v>9</v>
      </c>
      <c r="H160" s="43">
        <f>VLOOKUP(C160,[1]Sheet4!$B$2:$H$344,7,FALSE)</f>
        <v>14.27</v>
      </c>
      <c r="I160" s="43">
        <f t="shared" si="4"/>
        <v>128.43</v>
      </c>
      <c r="J160" s="45" t="s">
        <v>14</v>
      </c>
      <c r="K160" s="44">
        <v>9</v>
      </c>
    </row>
    <row r="161" spans="1:11" ht="20.100000000000001" customHeight="1">
      <c r="A161" s="41">
        <v>156</v>
      </c>
      <c r="B161" s="42" t="s">
        <v>1624</v>
      </c>
      <c r="C161" s="45">
        <v>130401178</v>
      </c>
      <c r="D161" s="45" t="s">
        <v>1625</v>
      </c>
      <c r="E161" s="42"/>
      <c r="F161" s="46"/>
      <c r="G161" s="42">
        <v>10</v>
      </c>
      <c r="H161" s="43">
        <f>VLOOKUP(C161,[1]Sheet4!$B$2:$H$344,7,FALSE)</f>
        <v>29.54</v>
      </c>
      <c r="I161" s="43">
        <f t="shared" si="4"/>
        <v>295.39999999999998</v>
      </c>
      <c r="J161" s="45" t="s">
        <v>14</v>
      </c>
      <c r="K161" s="44">
        <v>10</v>
      </c>
    </row>
    <row r="162" spans="1:11" ht="20.100000000000001" customHeight="1">
      <c r="A162" s="37">
        <v>157</v>
      </c>
      <c r="B162" s="42" t="s">
        <v>1626</v>
      </c>
      <c r="C162" s="45">
        <v>130100556</v>
      </c>
      <c r="D162" s="45" t="s">
        <v>1627</v>
      </c>
      <c r="E162" s="42"/>
      <c r="F162" s="46"/>
      <c r="G162" s="42">
        <v>1</v>
      </c>
      <c r="H162" s="43" t="e">
        <f>VLOOKUP(C162,[1]Sheet4!$B$2:$H$344,7,FALSE)</f>
        <v>#N/A</v>
      </c>
      <c r="I162" s="43" t="e">
        <f t="shared" si="4"/>
        <v>#N/A</v>
      </c>
      <c r="J162" s="45" t="s">
        <v>14</v>
      </c>
      <c r="K162" s="44">
        <v>1</v>
      </c>
    </row>
    <row r="163" spans="1:11" ht="20.100000000000001" customHeight="1">
      <c r="A163" s="41">
        <v>158</v>
      </c>
      <c r="B163" s="42" t="s">
        <v>1628</v>
      </c>
      <c r="C163" s="45">
        <v>130900107</v>
      </c>
      <c r="D163" s="45" t="s">
        <v>1301</v>
      </c>
      <c r="E163" s="42"/>
      <c r="F163" s="46"/>
      <c r="G163" s="42">
        <v>10</v>
      </c>
      <c r="H163" s="43">
        <f>VLOOKUP(C163,[1]Sheet4!$B$2:$H$344,7,FALSE)</f>
        <v>11.89</v>
      </c>
      <c r="I163" s="43">
        <f t="shared" si="4"/>
        <v>118.9</v>
      </c>
      <c r="J163" s="45" t="s">
        <v>14</v>
      </c>
      <c r="K163" s="44">
        <v>10</v>
      </c>
    </row>
    <row r="164" spans="1:11" ht="20.100000000000001" customHeight="1">
      <c r="A164" s="37">
        <v>159</v>
      </c>
      <c r="B164" s="42" t="s">
        <v>1629</v>
      </c>
      <c r="C164" s="45">
        <v>130800412</v>
      </c>
      <c r="D164" s="45" t="s">
        <v>1630</v>
      </c>
      <c r="E164" s="42"/>
      <c r="F164" s="46"/>
      <c r="G164" s="42">
        <v>200</v>
      </c>
      <c r="H164" s="43">
        <f>VLOOKUP(C164,[1]Sheet4!$B$2:$H$344,7,FALSE)</f>
        <v>3.43</v>
      </c>
      <c r="I164" s="43">
        <f t="shared" si="4"/>
        <v>686</v>
      </c>
      <c r="J164" s="45" t="s">
        <v>59</v>
      </c>
      <c r="K164" s="44">
        <v>200</v>
      </c>
    </row>
    <row r="165" spans="1:11" ht="20.100000000000001" customHeight="1">
      <c r="A165" s="41">
        <v>160</v>
      </c>
      <c r="B165" s="42" t="s">
        <v>1631</v>
      </c>
      <c r="C165" s="45">
        <v>130401206</v>
      </c>
      <c r="D165" s="45" t="s">
        <v>1632</v>
      </c>
      <c r="E165" s="42"/>
      <c r="F165" s="46"/>
      <c r="G165" s="42">
        <v>19</v>
      </c>
      <c r="H165" s="43" t="e">
        <f>VLOOKUP(C165,[1]Sheet4!$B$2:$H$344,7,FALSE)</f>
        <v>#N/A</v>
      </c>
      <c r="I165" s="43" t="e">
        <f t="shared" si="4"/>
        <v>#N/A</v>
      </c>
      <c r="J165" s="45" t="s">
        <v>14</v>
      </c>
      <c r="K165" s="44">
        <v>19</v>
      </c>
    </row>
    <row r="166" spans="1:11" ht="20.100000000000001" customHeight="1">
      <c r="A166" s="37">
        <v>161</v>
      </c>
      <c r="B166" s="42" t="s">
        <v>1633</v>
      </c>
      <c r="C166" s="45">
        <v>130900094</v>
      </c>
      <c r="D166" s="45" t="s">
        <v>1634</v>
      </c>
      <c r="E166" s="42"/>
      <c r="F166" s="46"/>
      <c r="G166" s="42">
        <v>130</v>
      </c>
      <c r="H166" s="43">
        <f>VLOOKUP(C166,[1]Sheet4!$B$2:$H$344,7,FALSE)</f>
        <v>2.34</v>
      </c>
      <c r="I166" s="43">
        <f t="shared" si="4"/>
        <v>304.2</v>
      </c>
      <c r="J166" s="45" t="s">
        <v>14</v>
      </c>
      <c r="K166" s="44">
        <v>130</v>
      </c>
    </row>
    <row r="167" spans="1:11" ht="20.100000000000001" customHeight="1">
      <c r="A167" s="41">
        <v>162</v>
      </c>
      <c r="B167" s="42" t="s">
        <v>1635</v>
      </c>
      <c r="C167" s="45">
        <v>40127274</v>
      </c>
      <c r="D167" s="45" t="s">
        <v>1636</v>
      </c>
      <c r="E167" s="42"/>
      <c r="F167" s="46"/>
      <c r="G167" s="42">
        <v>2</v>
      </c>
      <c r="H167" s="43">
        <f>VLOOKUP(C167,[1]Sheet4!$B$2:$H$344,7,FALSE)</f>
        <v>111.26</v>
      </c>
      <c r="I167" s="43">
        <f t="shared" si="4"/>
        <v>222.52</v>
      </c>
      <c r="J167" s="45" t="s">
        <v>14</v>
      </c>
      <c r="K167" s="44">
        <v>2</v>
      </c>
    </row>
    <row r="168" spans="1:11" ht="20.100000000000001" customHeight="1">
      <c r="A168" s="37">
        <v>163</v>
      </c>
      <c r="B168" s="45" t="s">
        <v>1635</v>
      </c>
      <c r="C168" s="45" t="s">
        <v>1637</v>
      </c>
      <c r="D168" s="45" t="s">
        <v>1638</v>
      </c>
      <c r="E168" s="42"/>
      <c r="F168" s="46"/>
      <c r="G168" s="42">
        <v>10</v>
      </c>
      <c r="H168" s="43"/>
      <c r="I168" s="43">
        <f t="shared" si="4"/>
        <v>0</v>
      </c>
      <c r="J168" s="45"/>
      <c r="K168" s="44">
        <v>10</v>
      </c>
    </row>
    <row r="169" spans="1:11" ht="20.100000000000001" customHeight="1">
      <c r="A169" s="41">
        <v>164</v>
      </c>
      <c r="B169" s="42" t="s">
        <v>1639</v>
      </c>
      <c r="C169" s="42" t="s">
        <v>1640</v>
      </c>
      <c r="D169" s="42" t="s">
        <v>1641</v>
      </c>
      <c r="E169" s="42" t="s">
        <v>1642</v>
      </c>
      <c r="F169" s="42" t="s">
        <v>1643</v>
      </c>
      <c r="G169" s="42">
        <v>5</v>
      </c>
      <c r="H169" s="43"/>
      <c r="I169" s="43">
        <f t="shared" si="4"/>
        <v>0</v>
      </c>
      <c r="J169" s="42" t="s">
        <v>14</v>
      </c>
      <c r="K169" s="44">
        <v>5</v>
      </c>
    </row>
    <row r="170" spans="1:11" ht="20.100000000000001" customHeight="1">
      <c r="A170" s="37">
        <v>165</v>
      </c>
      <c r="B170" s="42" t="s">
        <v>1639</v>
      </c>
      <c r="C170" s="42" t="s">
        <v>1644</v>
      </c>
      <c r="D170" s="42" t="s">
        <v>1641</v>
      </c>
      <c r="E170" s="42" t="s">
        <v>1642</v>
      </c>
      <c r="F170" s="42" t="s">
        <v>1645</v>
      </c>
      <c r="G170" s="42">
        <v>2</v>
      </c>
      <c r="H170" s="43"/>
      <c r="I170" s="43">
        <f t="shared" si="4"/>
        <v>0</v>
      </c>
      <c r="J170" s="42" t="s">
        <v>14</v>
      </c>
      <c r="K170" s="44">
        <v>2</v>
      </c>
    </row>
    <row r="171" spans="1:11" ht="20.100000000000001" customHeight="1">
      <c r="A171" s="41">
        <v>166</v>
      </c>
      <c r="B171" s="42" t="s">
        <v>1639</v>
      </c>
      <c r="C171" s="42" t="s">
        <v>1646</v>
      </c>
      <c r="D171" s="42" t="s">
        <v>1641</v>
      </c>
      <c r="E171" s="42" t="s">
        <v>1642</v>
      </c>
      <c r="F171" s="42" t="s">
        <v>1647</v>
      </c>
      <c r="G171" s="42">
        <v>3</v>
      </c>
      <c r="H171" s="43"/>
      <c r="I171" s="43">
        <f t="shared" si="4"/>
        <v>0</v>
      </c>
      <c r="J171" s="42" t="s">
        <v>14</v>
      </c>
      <c r="K171" s="44">
        <v>3</v>
      </c>
    </row>
    <row r="172" spans="1:11" ht="20.100000000000001" customHeight="1">
      <c r="A172" s="37">
        <v>167</v>
      </c>
      <c r="B172" s="42" t="s">
        <v>1639</v>
      </c>
      <c r="C172" s="42" t="s">
        <v>1648</v>
      </c>
      <c r="D172" s="42" t="s">
        <v>1641</v>
      </c>
      <c r="E172" s="42" t="s">
        <v>1642</v>
      </c>
      <c r="F172" s="42" t="s">
        <v>1649</v>
      </c>
      <c r="G172" s="42">
        <v>50</v>
      </c>
      <c r="H172" s="43"/>
      <c r="I172" s="43">
        <f t="shared" si="4"/>
        <v>0</v>
      </c>
      <c r="J172" s="42" t="s">
        <v>14</v>
      </c>
      <c r="K172" s="44">
        <v>50</v>
      </c>
    </row>
    <row r="173" spans="1:11" ht="20.100000000000001" customHeight="1">
      <c r="A173" s="41">
        <v>168</v>
      </c>
      <c r="B173" s="42" t="s">
        <v>1650</v>
      </c>
      <c r="C173" s="42">
        <v>40734328</v>
      </c>
      <c r="D173" s="42" t="s">
        <v>1651</v>
      </c>
      <c r="E173" s="42" t="s">
        <v>1652</v>
      </c>
      <c r="F173" s="42"/>
      <c r="G173" s="42">
        <v>57</v>
      </c>
      <c r="H173" s="43">
        <v>1.46</v>
      </c>
      <c r="I173" s="43">
        <f t="shared" si="4"/>
        <v>83.22</v>
      </c>
      <c r="J173" s="42" t="s">
        <v>14</v>
      </c>
      <c r="K173" s="44">
        <v>49</v>
      </c>
    </row>
    <row r="174" spans="1:11" ht="20.100000000000001" customHeight="1">
      <c r="A174" s="37">
        <v>169</v>
      </c>
      <c r="B174" s="42" t="s">
        <v>1650</v>
      </c>
      <c r="C174" s="45" t="s">
        <v>1653</v>
      </c>
      <c r="D174" s="45" t="s">
        <v>1654</v>
      </c>
      <c r="E174" s="42"/>
      <c r="F174" s="46"/>
      <c r="G174" s="42">
        <v>20</v>
      </c>
      <c r="H174" s="43"/>
      <c r="I174" s="43">
        <f t="shared" si="4"/>
        <v>0</v>
      </c>
      <c r="J174" s="45" t="s">
        <v>14</v>
      </c>
      <c r="K174" s="44">
        <v>20</v>
      </c>
    </row>
    <row r="175" spans="1:11" ht="20.100000000000001" customHeight="1">
      <c r="A175" s="41">
        <v>170</v>
      </c>
      <c r="B175" s="42" t="s">
        <v>1655</v>
      </c>
      <c r="C175" s="42" t="s">
        <v>1656</v>
      </c>
      <c r="D175" s="42" t="s">
        <v>1365</v>
      </c>
      <c r="E175" s="42" t="s">
        <v>943</v>
      </c>
      <c r="F175" s="42" t="s">
        <v>1657</v>
      </c>
      <c r="G175" s="42">
        <v>3</v>
      </c>
      <c r="H175" s="43"/>
      <c r="I175" s="43">
        <f t="shared" si="4"/>
        <v>0</v>
      </c>
      <c r="J175" s="42" t="s">
        <v>14</v>
      </c>
      <c r="K175" s="44">
        <v>3</v>
      </c>
    </row>
    <row r="176" spans="1:11" ht="20.100000000000001" customHeight="1">
      <c r="A176" s="37">
        <v>171</v>
      </c>
      <c r="B176" s="42" t="s">
        <v>1655</v>
      </c>
      <c r="C176" s="42" t="s">
        <v>1658</v>
      </c>
      <c r="D176" s="42" t="s">
        <v>1365</v>
      </c>
      <c r="E176" s="42" t="s">
        <v>943</v>
      </c>
      <c r="F176" s="42">
        <v>22213</v>
      </c>
      <c r="G176" s="42">
        <v>1</v>
      </c>
      <c r="H176" s="43"/>
      <c r="I176" s="43">
        <f t="shared" si="4"/>
        <v>0</v>
      </c>
      <c r="J176" s="42" t="s">
        <v>14</v>
      </c>
      <c r="K176" s="44">
        <v>1</v>
      </c>
    </row>
    <row r="177" spans="1:11" ht="20.100000000000001" customHeight="1">
      <c r="A177" s="41">
        <v>172</v>
      </c>
      <c r="B177" s="42" t="s">
        <v>1655</v>
      </c>
      <c r="C177" s="42" t="s">
        <v>1659</v>
      </c>
      <c r="D177" s="42" t="s">
        <v>1365</v>
      </c>
      <c r="E177" s="42" t="s">
        <v>943</v>
      </c>
      <c r="F177" s="42" t="s">
        <v>1660</v>
      </c>
      <c r="G177" s="42">
        <v>1</v>
      </c>
      <c r="H177" s="43"/>
      <c r="I177" s="43">
        <f t="shared" si="4"/>
        <v>0</v>
      </c>
      <c r="J177" s="42" t="s">
        <v>14</v>
      </c>
      <c r="K177" s="44">
        <v>1</v>
      </c>
    </row>
    <row r="178" spans="1:11" ht="20.100000000000001" customHeight="1">
      <c r="A178" s="37">
        <v>173</v>
      </c>
      <c r="B178" s="42" t="s">
        <v>1655</v>
      </c>
      <c r="C178" s="42" t="s">
        <v>1661</v>
      </c>
      <c r="D178" s="42" t="s">
        <v>1365</v>
      </c>
      <c r="E178" s="42" t="s">
        <v>943</v>
      </c>
      <c r="F178" s="42">
        <v>51218</v>
      </c>
      <c r="G178" s="42">
        <v>3</v>
      </c>
      <c r="H178" s="43"/>
      <c r="I178" s="43">
        <f t="shared" si="4"/>
        <v>0</v>
      </c>
      <c r="J178" s="42" t="s">
        <v>14</v>
      </c>
      <c r="K178" s="44">
        <v>3</v>
      </c>
    </row>
    <row r="179" spans="1:11" ht="20.100000000000001" customHeight="1">
      <c r="A179" s="41">
        <v>174</v>
      </c>
      <c r="B179" s="42" t="s">
        <v>1662</v>
      </c>
      <c r="C179" s="42">
        <v>40676196</v>
      </c>
      <c r="D179" s="42" t="s">
        <v>1663</v>
      </c>
      <c r="E179" s="42" t="s">
        <v>1664</v>
      </c>
      <c r="F179" s="42"/>
      <c r="G179" s="42">
        <v>58</v>
      </c>
      <c r="H179" s="43">
        <v>42.35</v>
      </c>
      <c r="I179" s="43">
        <f t="shared" si="4"/>
        <v>2456.3000000000002</v>
      </c>
      <c r="J179" s="42" t="s">
        <v>14</v>
      </c>
      <c r="K179" s="44">
        <v>58</v>
      </c>
    </row>
    <row r="180" spans="1:11" ht="20.100000000000001" customHeight="1">
      <c r="A180" s="37">
        <v>175</v>
      </c>
      <c r="B180" s="42" t="s">
        <v>1665</v>
      </c>
      <c r="C180" s="42">
        <v>40691362</v>
      </c>
      <c r="D180" s="42" t="s">
        <v>1666</v>
      </c>
      <c r="E180" s="42" t="s">
        <v>1667</v>
      </c>
      <c r="F180" s="42" t="s">
        <v>1668</v>
      </c>
      <c r="G180" s="42">
        <v>4</v>
      </c>
      <c r="H180" s="43">
        <v>126.32</v>
      </c>
      <c r="I180" s="43">
        <f t="shared" si="4"/>
        <v>505.28</v>
      </c>
      <c r="J180" s="42" t="s">
        <v>14</v>
      </c>
      <c r="K180" s="44">
        <v>4</v>
      </c>
    </row>
    <row r="181" spans="1:11" ht="20.100000000000001" customHeight="1">
      <c r="A181" s="41">
        <v>176</v>
      </c>
      <c r="B181" s="42" t="s">
        <v>1669</v>
      </c>
      <c r="C181" s="42">
        <v>40697203</v>
      </c>
      <c r="D181" s="42" t="s">
        <v>1119</v>
      </c>
      <c r="E181" s="42" t="s">
        <v>1670</v>
      </c>
      <c r="F181" s="42">
        <v>32214</v>
      </c>
      <c r="G181" s="42">
        <v>1</v>
      </c>
      <c r="H181" s="43">
        <v>123.35</v>
      </c>
      <c r="I181" s="43">
        <f t="shared" si="4"/>
        <v>123.35</v>
      </c>
      <c r="J181" s="42" t="s">
        <v>14</v>
      </c>
      <c r="K181" s="44">
        <v>1</v>
      </c>
    </row>
    <row r="182" spans="1:11" ht="20.100000000000001" customHeight="1">
      <c r="A182" s="37">
        <v>177</v>
      </c>
      <c r="B182" s="42" t="s">
        <v>1669</v>
      </c>
      <c r="C182" s="42" t="s">
        <v>1671</v>
      </c>
      <c r="D182" s="42" t="s">
        <v>1365</v>
      </c>
      <c r="E182" s="42" t="s">
        <v>943</v>
      </c>
      <c r="F182" s="42" t="s">
        <v>1672</v>
      </c>
      <c r="G182" s="42">
        <v>8</v>
      </c>
      <c r="H182" s="43"/>
      <c r="I182" s="43">
        <f t="shared" si="4"/>
        <v>0</v>
      </c>
      <c r="J182" s="42" t="s">
        <v>14</v>
      </c>
      <c r="K182" s="44">
        <v>8</v>
      </c>
    </row>
    <row r="183" spans="1:11" ht="20.100000000000001" customHeight="1">
      <c r="A183" s="41">
        <v>178</v>
      </c>
      <c r="B183" s="42" t="s">
        <v>1673</v>
      </c>
      <c r="C183" s="42">
        <v>40698502</v>
      </c>
      <c r="D183" s="42" t="s">
        <v>1674</v>
      </c>
      <c r="E183" s="42" t="s">
        <v>1675</v>
      </c>
      <c r="F183" s="42"/>
      <c r="G183" s="42">
        <v>4</v>
      </c>
      <c r="H183" s="43">
        <v>1053.25</v>
      </c>
      <c r="I183" s="43">
        <f t="shared" si="4"/>
        <v>4213</v>
      </c>
      <c r="J183" s="42" t="s">
        <v>14</v>
      </c>
      <c r="K183" s="44">
        <v>4</v>
      </c>
    </row>
    <row r="184" spans="1:11" ht="20.100000000000001" customHeight="1">
      <c r="A184" s="37">
        <v>179</v>
      </c>
      <c r="B184" s="42" t="s">
        <v>1673</v>
      </c>
      <c r="C184" s="42" t="s">
        <v>1676</v>
      </c>
      <c r="D184" s="42" t="s">
        <v>1365</v>
      </c>
      <c r="E184" s="42" t="s">
        <v>943</v>
      </c>
      <c r="F184" s="42" t="s">
        <v>1677</v>
      </c>
      <c r="G184" s="42">
        <v>2</v>
      </c>
      <c r="H184" s="43"/>
      <c r="I184" s="43">
        <f t="shared" si="4"/>
        <v>0</v>
      </c>
      <c r="J184" s="42" t="s">
        <v>14</v>
      </c>
      <c r="K184" s="44">
        <v>2</v>
      </c>
    </row>
    <row r="185" spans="1:11" ht="20.100000000000001" customHeight="1">
      <c r="A185" s="41">
        <v>180</v>
      </c>
      <c r="B185" s="42" t="s">
        <v>1678</v>
      </c>
      <c r="C185" s="42" t="s">
        <v>1679</v>
      </c>
      <c r="D185" s="42" t="s">
        <v>1680</v>
      </c>
      <c r="E185" s="42"/>
      <c r="F185" s="42" t="s">
        <v>1681</v>
      </c>
      <c r="G185" s="42">
        <v>15</v>
      </c>
      <c r="H185" s="43"/>
      <c r="I185" s="43">
        <f t="shared" si="4"/>
        <v>0</v>
      </c>
      <c r="J185" s="42" t="s">
        <v>14</v>
      </c>
      <c r="K185" s="44">
        <v>15</v>
      </c>
    </row>
    <row r="186" spans="1:11" ht="20.100000000000001" customHeight="1">
      <c r="A186" s="37">
        <v>181</v>
      </c>
      <c r="B186" s="42" t="s">
        <v>1682</v>
      </c>
      <c r="C186" s="42">
        <v>40760884</v>
      </c>
      <c r="D186" s="42" t="s">
        <v>1683</v>
      </c>
      <c r="E186" s="42" t="s">
        <v>1684</v>
      </c>
      <c r="F186" s="42"/>
      <c r="G186" s="42">
        <v>10</v>
      </c>
      <c r="H186" s="43">
        <v>0.91</v>
      </c>
      <c r="I186" s="43">
        <f t="shared" si="4"/>
        <v>9.1</v>
      </c>
      <c r="J186" s="42" t="s">
        <v>14</v>
      </c>
      <c r="K186" s="44">
        <v>10</v>
      </c>
    </row>
    <row r="187" spans="1:11" ht="20.100000000000001" customHeight="1">
      <c r="A187" s="41">
        <v>182</v>
      </c>
      <c r="B187" s="42" t="s">
        <v>1682</v>
      </c>
      <c r="C187" s="42">
        <v>40760883</v>
      </c>
      <c r="D187" s="42" t="s">
        <v>1685</v>
      </c>
      <c r="E187" s="42" t="s">
        <v>1686</v>
      </c>
      <c r="F187" s="42" t="s">
        <v>1687</v>
      </c>
      <c r="G187" s="42">
        <v>10</v>
      </c>
      <c r="H187" s="43"/>
      <c r="I187" s="43">
        <f t="shared" si="4"/>
        <v>0</v>
      </c>
      <c r="J187" s="42" t="s">
        <v>14</v>
      </c>
      <c r="K187" s="44">
        <v>10</v>
      </c>
    </row>
    <row r="188" spans="1:11" ht="20.100000000000001" customHeight="1">
      <c r="A188" s="37">
        <v>183</v>
      </c>
      <c r="B188" s="42" t="s">
        <v>1682</v>
      </c>
      <c r="C188" s="42" t="s">
        <v>1688</v>
      </c>
      <c r="D188" s="42" t="s">
        <v>1685</v>
      </c>
      <c r="E188" s="42" t="s">
        <v>1686</v>
      </c>
      <c r="F188" s="42" t="s">
        <v>1689</v>
      </c>
      <c r="G188" s="42">
        <v>2</v>
      </c>
      <c r="H188" s="43"/>
      <c r="I188" s="43">
        <f t="shared" si="4"/>
        <v>0</v>
      </c>
      <c r="J188" s="42" t="s">
        <v>14</v>
      </c>
      <c r="K188" s="44">
        <v>2</v>
      </c>
    </row>
    <row r="189" spans="1:11" ht="20.100000000000001" customHeight="1">
      <c r="A189" s="41">
        <v>184</v>
      </c>
      <c r="B189" s="42" t="s">
        <v>1682</v>
      </c>
      <c r="C189" s="42" t="s">
        <v>1690</v>
      </c>
      <c r="D189" s="42" t="s">
        <v>1685</v>
      </c>
      <c r="E189" s="42" t="s">
        <v>1686</v>
      </c>
      <c r="F189" s="42" t="s">
        <v>1691</v>
      </c>
      <c r="G189" s="42">
        <v>2</v>
      </c>
      <c r="H189" s="43"/>
      <c r="I189" s="43">
        <f t="shared" si="4"/>
        <v>0</v>
      </c>
      <c r="J189" s="42" t="s">
        <v>14</v>
      </c>
      <c r="K189" s="44">
        <v>2</v>
      </c>
    </row>
    <row r="190" spans="1:11" ht="20.100000000000001" customHeight="1">
      <c r="A190" s="37">
        <v>185</v>
      </c>
      <c r="B190" s="42" t="s">
        <v>1692</v>
      </c>
      <c r="C190" s="42">
        <v>40683814</v>
      </c>
      <c r="D190" s="42" t="s">
        <v>1693</v>
      </c>
      <c r="E190" s="42" t="s">
        <v>1694</v>
      </c>
      <c r="F190" s="42"/>
      <c r="G190" s="42">
        <v>7</v>
      </c>
      <c r="H190" s="43">
        <v>5.25</v>
      </c>
      <c r="I190" s="43">
        <f t="shared" si="4"/>
        <v>36.75</v>
      </c>
      <c r="J190" s="42" t="s">
        <v>14</v>
      </c>
      <c r="K190" s="44">
        <v>7</v>
      </c>
    </row>
    <row r="191" spans="1:11" ht="20.100000000000001" customHeight="1">
      <c r="A191" s="41">
        <v>186</v>
      </c>
      <c r="B191" s="42" t="s">
        <v>1692</v>
      </c>
      <c r="C191" s="42">
        <v>40683812</v>
      </c>
      <c r="D191" s="42" t="s">
        <v>1695</v>
      </c>
      <c r="E191" s="42" t="s">
        <v>1696</v>
      </c>
      <c r="F191" s="42"/>
      <c r="G191" s="42">
        <v>2</v>
      </c>
      <c r="H191" s="43">
        <v>4.16</v>
      </c>
      <c r="I191" s="43">
        <f t="shared" si="4"/>
        <v>8.32</v>
      </c>
      <c r="J191" s="42" t="s">
        <v>14</v>
      </c>
      <c r="K191" s="44">
        <v>2</v>
      </c>
    </row>
    <row r="192" spans="1:11" ht="20.100000000000001" customHeight="1">
      <c r="A192" s="37">
        <v>187</v>
      </c>
      <c r="B192" s="42" t="s">
        <v>1692</v>
      </c>
      <c r="C192" s="42">
        <v>40683808</v>
      </c>
      <c r="D192" s="42" t="s">
        <v>1697</v>
      </c>
      <c r="E192" s="42" t="s">
        <v>1698</v>
      </c>
      <c r="F192" s="42"/>
      <c r="G192" s="42">
        <v>2</v>
      </c>
      <c r="H192" s="43">
        <v>2.2599999999999998</v>
      </c>
      <c r="I192" s="43">
        <f t="shared" si="4"/>
        <v>4.5199999999999996</v>
      </c>
      <c r="J192" s="42" t="s">
        <v>14</v>
      </c>
      <c r="K192" s="44">
        <v>2</v>
      </c>
    </row>
    <row r="193" spans="1:11" ht="20.100000000000001" customHeight="1">
      <c r="A193" s="41">
        <v>188</v>
      </c>
      <c r="B193" s="42" t="s">
        <v>1692</v>
      </c>
      <c r="C193" s="42">
        <v>40683809</v>
      </c>
      <c r="D193" s="42" t="s">
        <v>1699</v>
      </c>
      <c r="E193" s="42" t="s">
        <v>1700</v>
      </c>
      <c r="F193" s="42"/>
      <c r="G193" s="42">
        <v>4</v>
      </c>
      <c r="H193" s="43">
        <v>2.12</v>
      </c>
      <c r="I193" s="43">
        <f t="shared" si="4"/>
        <v>8.48</v>
      </c>
      <c r="J193" s="42" t="s">
        <v>14</v>
      </c>
      <c r="K193" s="44">
        <v>4</v>
      </c>
    </row>
    <row r="194" spans="1:11" ht="20.100000000000001" customHeight="1">
      <c r="A194" s="37">
        <v>189</v>
      </c>
      <c r="B194" s="42" t="s">
        <v>1701</v>
      </c>
      <c r="C194" s="42">
        <v>40084864</v>
      </c>
      <c r="D194" s="42" t="s">
        <v>1702</v>
      </c>
      <c r="E194" s="42" t="s">
        <v>1703</v>
      </c>
      <c r="F194" s="42"/>
      <c r="G194" s="42">
        <v>64</v>
      </c>
      <c r="H194" s="43">
        <v>30.64</v>
      </c>
      <c r="I194" s="43">
        <f t="shared" si="4"/>
        <v>1960.96</v>
      </c>
      <c r="J194" s="42" t="s">
        <v>14</v>
      </c>
      <c r="K194" s="44">
        <v>64</v>
      </c>
    </row>
    <row r="195" spans="1:11" ht="20.100000000000001" customHeight="1">
      <c r="A195" s="41">
        <v>190</v>
      </c>
      <c r="B195" s="42" t="s">
        <v>1704</v>
      </c>
      <c r="C195" s="42">
        <v>40622556</v>
      </c>
      <c r="D195" s="42" t="s">
        <v>1705</v>
      </c>
      <c r="E195" s="42" t="s">
        <v>1706</v>
      </c>
      <c r="F195" s="42" t="s">
        <v>1707</v>
      </c>
      <c r="G195" s="42">
        <v>18</v>
      </c>
      <c r="H195" s="43">
        <v>43.87</v>
      </c>
      <c r="I195" s="43">
        <f t="shared" si="4"/>
        <v>789.66</v>
      </c>
      <c r="J195" s="42" t="s">
        <v>14</v>
      </c>
      <c r="K195" s="44">
        <v>18</v>
      </c>
    </row>
    <row r="196" spans="1:11" ht="20.100000000000001" customHeight="1">
      <c r="A196" s="37">
        <v>191</v>
      </c>
      <c r="B196" s="42" t="s">
        <v>1708</v>
      </c>
      <c r="C196" s="45" t="s">
        <v>1709</v>
      </c>
      <c r="D196" s="45" t="s">
        <v>1710</v>
      </c>
      <c r="E196" s="42"/>
      <c r="F196" s="46"/>
      <c r="G196" s="42">
        <v>1</v>
      </c>
      <c r="H196" s="43"/>
      <c r="I196" s="43">
        <f t="shared" si="4"/>
        <v>0</v>
      </c>
      <c r="J196" s="45"/>
      <c r="K196" s="44">
        <v>1</v>
      </c>
    </row>
    <row r="197" spans="1:11" ht="20.100000000000001" customHeight="1">
      <c r="A197" s="41">
        <v>192</v>
      </c>
      <c r="B197" s="42" t="s">
        <v>1711</v>
      </c>
      <c r="C197" s="45">
        <v>131100558</v>
      </c>
      <c r="D197" s="45" t="s">
        <v>1310</v>
      </c>
      <c r="E197" s="42"/>
      <c r="F197" s="46"/>
      <c r="G197" s="42">
        <v>4</v>
      </c>
      <c r="H197" s="43">
        <f>VLOOKUP(C197,[1]Sheet4!$B$2:$H$344,7,FALSE)</f>
        <v>0.72</v>
      </c>
      <c r="I197" s="43">
        <f t="shared" si="4"/>
        <v>2.88</v>
      </c>
      <c r="J197" s="45" t="s">
        <v>14</v>
      </c>
      <c r="K197" s="44">
        <v>4</v>
      </c>
    </row>
    <row r="198" spans="1:11" ht="20.100000000000001" customHeight="1">
      <c r="A198" s="37">
        <v>193</v>
      </c>
      <c r="B198" s="42" t="s">
        <v>1712</v>
      </c>
      <c r="C198" s="45" t="s">
        <v>1713</v>
      </c>
      <c r="D198" s="45" t="s">
        <v>1714</v>
      </c>
      <c r="E198" s="42"/>
      <c r="F198" s="46"/>
      <c r="G198" s="42">
        <v>7</v>
      </c>
      <c r="H198" s="43"/>
      <c r="I198" s="43">
        <f t="shared" si="4"/>
        <v>0</v>
      </c>
      <c r="J198" s="45" t="s">
        <v>59</v>
      </c>
      <c r="K198" s="44">
        <v>7</v>
      </c>
    </row>
    <row r="199" spans="1:11" ht="20.100000000000001" customHeight="1">
      <c r="A199" s="41">
        <v>194</v>
      </c>
      <c r="B199" s="42" t="s">
        <v>1712</v>
      </c>
      <c r="C199" s="45" t="s">
        <v>1715</v>
      </c>
      <c r="D199" s="45" t="s">
        <v>1716</v>
      </c>
      <c r="E199" s="42"/>
      <c r="F199" s="46"/>
      <c r="G199" s="42">
        <v>10</v>
      </c>
      <c r="H199" s="43"/>
      <c r="I199" s="43">
        <f t="shared" si="4"/>
        <v>0</v>
      </c>
      <c r="J199" s="45"/>
      <c r="K199" s="44">
        <v>10</v>
      </c>
    </row>
    <row r="200" spans="1:11" ht="20.100000000000001" customHeight="1">
      <c r="A200" s="37">
        <v>195</v>
      </c>
      <c r="B200" s="42" t="s">
        <v>1717</v>
      </c>
      <c r="C200" s="42">
        <v>40630507</v>
      </c>
      <c r="D200" s="42" t="s">
        <v>1718</v>
      </c>
      <c r="E200" s="42" t="s">
        <v>1719</v>
      </c>
      <c r="F200" s="42"/>
      <c r="G200" s="42">
        <v>1</v>
      </c>
      <c r="H200" s="43">
        <v>191.51</v>
      </c>
      <c r="I200" s="43">
        <f t="shared" si="4"/>
        <v>191.51</v>
      </c>
      <c r="J200" s="42" t="s">
        <v>14</v>
      </c>
      <c r="K200" s="44">
        <v>1</v>
      </c>
    </row>
    <row r="201" spans="1:11" ht="20.100000000000001" customHeight="1">
      <c r="A201" s="41">
        <v>196</v>
      </c>
      <c r="B201" s="42" t="s">
        <v>1720</v>
      </c>
      <c r="C201" s="42">
        <v>40630505</v>
      </c>
      <c r="D201" s="42" t="s">
        <v>1721</v>
      </c>
      <c r="E201" s="42" t="s">
        <v>1722</v>
      </c>
      <c r="F201" s="42"/>
      <c r="G201" s="42">
        <v>1</v>
      </c>
      <c r="H201" s="43">
        <v>155.84</v>
      </c>
      <c r="I201" s="43">
        <f t="shared" si="4"/>
        <v>155.84</v>
      </c>
      <c r="J201" s="42" t="s">
        <v>14</v>
      </c>
      <c r="K201" s="44">
        <v>1</v>
      </c>
    </row>
    <row r="202" spans="1:11" ht="20.100000000000001" customHeight="1">
      <c r="A202" s="37">
        <v>197</v>
      </c>
      <c r="B202" s="42" t="s">
        <v>1723</v>
      </c>
      <c r="C202" s="42" t="s">
        <v>1724</v>
      </c>
      <c r="D202" s="42" t="s">
        <v>1725</v>
      </c>
      <c r="E202" s="42" t="s">
        <v>1726</v>
      </c>
      <c r="F202" s="42" t="s">
        <v>1727</v>
      </c>
      <c r="G202" s="42">
        <v>6</v>
      </c>
      <c r="H202" s="43"/>
      <c r="I202" s="43">
        <f t="shared" si="4"/>
        <v>0</v>
      </c>
      <c r="J202" s="42" t="s">
        <v>14</v>
      </c>
      <c r="K202" s="44">
        <v>6</v>
      </c>
    </row>
    <row r="203" spans="1:11" ht="20.100000000000001" customHeight="1">
      <c r="A203" s="41">
        <v>198</v>
      </c>
      <c r="B203" s="42" t="s">
        <v>1728</v>
      </c>
      <c r="C203" s="42">
        <v>40027136</v>
      </c>
      <c r="D203" s="42" t="s">
        <v>1729</v>
      </c>
      <c r="E203" s="42" t="s">
        <v>1730</v>
      </c>
      <c r="F203" s="42"/>
      <c r="G203" s="42">
        <v>23</v>
      </c>
      <c r="H203" s="43">
        <v>5.71</v>
      </c>
      <c r="I203" s="43">
        <f t="shared" si="4"/>
        <v>131.33000000000001</v>
      </c>
      <c r="J203" s="42" t="s">
        <v>14</v>
      </c>
      <c r="K203" s="44">
        <v>23</v>
      </c>
    </row>
    <row r="204" spans="1:11" ht="20.100000000000001" customHeight="1">
      <c r="A204" s="37">
        <v>199</v>
      </c>
      <c r="B204" s="42" t="s">
        <v>1728</v>
      </c>
      <c r="C204" s="45">
        <v>40027136</v>
      </c>
      <c r="D204" s="45" t="s">
        <v>1731</v>
      </c>
      <c r="E204" s="42"/>
      <c r="F204" s="46"/>
      <c r="G204" s="42">
        <v>23</v>
      </c>
      <c r="H204" s="43">
        <f>VLOOKUP(C204,[1]Sheet4!$B$2:$H$344,7,FALSE)</f>
        <v>279.11</v>
      </c>
      <c r="I204" s="43">
        <f t="shared" si="4"/>
        <v>6419.5300000000007</v>
      </c>
      <c r="J204" s="45" t="s">
        <v>14</v>
      </c>
      <c r="K204" s="44">
        <v>23</v>
      </c>
    </row>
    <row r="205" spans="1:11" ht="20.100000000000001" customHeight="1">
      <c r="A205" s="41">
        <v>200</v>
      </c>
      <c r="B205" s="42" t="s">
        <v>1732</v>
      </c>
      <c r="C205" s="42">
        <v>40803663</v>
      </c>
      <c r="D205" s="42" t="s">
        <v>1733</v>
      </c>
      <c r="E205" s="42" t="s">
        <v>1734</v>
      </c>
      <c r="F205" s="42" t="s">
        <v>1735</v>
      </c>
      <c r="G205" s="42">
        <v>4</v>
      </c>
      <c r="H205" s="43">
        <v>0</v>
      </c>
      <c r="I205" s="43">
        <f t="shared" si="4"/>
        <v>0</v>
      </c>
      <c r="J205" s="42" t="s">
        <v>14</v>
      </c>
      <c r="K205" s="44">
        <v>4</v>
      </c>
    </row>
    <row r="206" spans="1:11" ht="20.100000000000001" customHeight="1">
      <c r="A206" s="37">
        <v>201</v>
      </c>
      <c r="B206" s="42" t="s">
        <v>1736</v>
      </c>
      <c r="C206" s="42">
        <v>40161831</v>
      </c>
      <c r="D206" s="42" t="s">
        <v>1737</v>
      </c>
      <c r="E206" s="42" t="s">
        <v>1738</v>
      </c>
      <c r="F206" s="42"/>
      <c r="G206" s="42">
        <v>1</v>
      </c>
      <c r="H206" s="43">
        <v>35.39</v>
      </c>
      <c r="I206" s="43">
        <f t="shared" si="4"/>
        <v>35.39</v>
      </c>
      <c r="J206" s="42" t="s">
        <v>59</v>
      </c>
      <c r="K206" s="44">
        <v>1</v>
      </c>
    </row>
    <row r="207" spans="1:11" ht="20.100000000000001" customHeight="1">
      <c r="A207" s="41">
        <v>202</v>
      </c>
      <c r="B207" s="42" t="s">
        <v>1739</v>
      </c>
      <c r="C207" s="45" t="s">
        <v>1740</v>
      </c>
      <c r="D207" s="45" t="s">
        <v>1741</v>
      </c>
      <c r="E207" s="42"/>
      <c r="F207" s="46"/>
      <c r="G207" s="42">
        <v>10</v>
      </c>
      <c r="H207" s="43"/>
      <c r="I207" s="43">
        <f t="shared" si="4"/>
        <v>0</v>
      </c>
      <c r="J207" s="45" t="s">
        <v>14</v>
      </c>
      <c r="K207" s="44">
        <v>10</v>
      </c>
    </row>
    <row r="208" spans="1:11" ht="20.100000000000001" customHeight="1">
      <c r="A208" s="37">
        <v>203</v>
      </c>
      <c r="B208" s="42" t="s">
        <v>1742</v>
      </c>
      <c r="C208" s="45">
        <v>130401197</v>
      </c>
      <c r="D208" s="45" t="s">
        <v>1621</v>
      </c>
      <c r="E208" s="42"/>
      <c r="F208" s="46"/>
      <c r="G208" s="42">
        <v>1</v>
      </c>
      <c r="H208" s="43">
        <f>VLOOKUP(C208,[1]Sheet4!$B$2:$H$344,7,FALSE)</f>
        <v>80.08</v>
      </c>
      <c r="I208" s="43">
        <f t="shared" si="4"/>
        <v>80.08</v>
      </c>
      <c r="J208" s="45" t="s">
        <v>59</v>
      </c>
      <c r="K208" s="44">
        <v>1</v>
      </c>
    </row>
    <row r="209" spans="1:11" ht="20.100000000000001" customHeight="1">
      <c r="A209" s="41">
        <v>204</v>
      </c>
      <c r="B209" s="42" t="s">
        <v>1743</v>
      </c>
      <c r="C209" s="45">
        <v>130900490</v>
      </c>
      <c r="D209" s="45" t="s">
        <v>170</v>
      </c>
      <c r="E209" s="42"/>
      <c r="F209" s="46"/>
      <c r="G209" s="42">
        <v>4</v>
      </c>
      <c r="H209" s="43">
        <f>VLOOKUP(C209,[1]Sheet4!$B$2:$H$344,7,FALSE)</f>
        <v>65.53</v>
      </c>
      <c r="I209" s="43">
        <f t="shared" si="4"/>
        <v>262.12</v>
      </c>
      <c r="J209" s="45" t="s">
        <v>14</v>
      </c>
      <c r="K209" s="44">
        <v>4</v>
      </c>
    </row>
    <row r="210" spans="1:11" ht="20.100000000000001" customHeight="1">
      <c r="A210" s="37">
        <v>205</v>
      </c>
      <c r="B210" s="42" t="s">
        <v>1744</v>
      </c>
      <c r="C210" s="45" t="s">
        <v>1745</v>
      </c>
      <c r="D210" s="45" t="s">
        <v>1746</v>
      </c>
      <c r="E210" s="42"/>
      <c r="F210" s="46"/>
      <c r="G210" s="42">
        <v>10</v>
      </c>
      <c r="H210" s="43"/>
      <c r="I210" s="43">
        <f t="shared" si="4"/>
        <v>0</v>
      </c>
      <c r="J210" s="45"/>
      <c r="K210" s="44">
        <v>8</v>
      </c>
    </row>
    <row r="211" spans="1:11" ht="20.100000000000001" customHeight="1">
      <c r="A211" s="41">
        <v>206</v>
      </c>
      <c r="B211" s="42" t="s">
        <v>1744</v>
      </c>
      <c r="C211" s="45" t="s">
        <v>1747</v>
      </c>
      <c r="D211" s="45" t="s">
        <v>1748</v>
      </c>
      <c r="E211" s="42"/>
      <c r="F211" s="46"/>
      <c r="G211" s="42">
        <v>10</v>
      </c>
      <c r="H211" s="43"/>
      <c r="I211" s="43">
        <f t="shared" si="4"/>
        <v>0</v>
      </c>
      <c r="J211" s="45"/>
      <c r="K211" s="44">
        <v>5</v>
      </c>
    </row>
    <row r="212" spans="1:11" ht="20.100000000000001" customHeight="1">
      <c r="A212" s="37">
        <v>207</v>
      </c>
      <c r="B212" s="42" t="s">
        <v>1744</v>
      </c>
      <c r="C212" s="45" t="s">
        <v>1749</v>
      </c>
      <c r="D212" s="45" t="s">
        <v>1750</v>
      </c>
      <c r="E212" s="42"/>
      <c r="F212" s="46"/>
      <c r="G212" s="42">
        <v>18</v>
      </c>
      <c r="H212" s="43"/>
      <c r="I212" s="43">
        <f t="shared" si="4"/>
        <v>0</v>
      </c>
      <c r="J212" s="45"/>
      <c r="K212" s="44">
        <v>16</v>
      </c>
    </row>
    <row r="213" spans="1:11" ht="20.100000000000001" customHeight="1">
      <c r="A213" s="41">
        <v>208</v>
      </c>
      <c r="B213" s="42" t="s">
        <v>1744</v>
      </c>
      <c r="C213" s="45" t="s">
        <v>1751</v>
      </c>
      <c r="D213" s="45" t="s">
        <v>1752</v>
      </c>
      <c r="E213" s="42"/>
      <c r="F213" s="46"/>
      <c r="G213" s="42">
        <v>50</v>
      </c>
      <c r="H213" s="43"/>
      <c r="I213" s="43">
        <f t="shared" si="4"/>
        <v>0</v>
      </c>
      <c r="J213" s="45"/>
      <c r="K213" s="44">
        <v>50</v>
      </c>
    </row>
    <row r="214" spans="1:11" ht="20.100000000000001" customHeight="1">
      <c r="A214" s="37">
        <v>209</v>
      </c>
      <c r="B214" s="42" t="s">
        <v>1744</v>
      </c>
      <c r="C214" s="45">
        <v>130400945</v>
      </c>
      <c r="D214" s="45" t="s">
        <v>1753</v>
      </c>
      <c r="E214" s="42"/>
      <c r="F214" s="46"/>
      <c r="G214" s="42">
        <v>8</v>
      </c>
      <c r="H214" s="43"/>
      <c r="I214" s="43">
        <f t="shared" si="4"/>
        <v>0</v>
      </c>
      <c r="J214" s="45"/>
      <c r="K214" s="44">
        <v>8</v>
      </c>
    </row>
    <row r="215" spans="1:11" ht="20.100000000000001" customHeight="1">
      <c r="A215" s="41">
        <v>210</v>
      </c>
      <c r="B215" s="42" t="s">
        <v>1754</v>
      </c>
      <c r="C215" s="45">
        <v>130900499</v>
      </c>
      <c r="D215" s="45" t="s">
        <v>1755</v>
      </c>
      <c r="E215" s="42"/>
      <c r="F215" s="46"/>
      <c r="G215" s="42">
        <v>4</v>
      </c>
      <c r="H215" s="43">
        <f>VLOOKUP(C215,[1]Sheet4!$B$2:$H$344,7,FALSE)</f>
        <v>30.1</v>
      </c>
      <c r="I215" s="43">
        <f t="shared" si="4"/>
        <v>120.4</v>
      </c>
      <c r="J215" s="45" t="s">
        <v>14</v>
      </c>
      <c r="K215" s="44">
        <v>4</v>
      </c>
    </row>
    <row r="216" spans="1:11" ht="20.100000000000001" customHeight="1">
      <c r="A216" s="37">
        <v>211</v>
      </c>
      <c r="B216" s="42" t="s">
        <v>1756</v>
      </c>
      <c r="C216" s="45">
        <v>130600060</v>
      </c>
      <c r="D216" s="45" t="s">
        <v>1757</v>
      </c>
      <c r="E216" s="42"/>
      <c r="F216" s="46"/>
      <c r="G216" s="42">
        <v>2</v>
      </c>
      <c r="H216" s="43">
        <f>VLOOKUP(C216,[1]Sheet4!$B$2:$H$344,7,FALSE)</f>
        <v>15.04</v>
      </c>
      <c r="I216" s="43">
        <f t="shared" si="4"/>
        <v>30.08</v>
      </c>
      <c r="J216" s="45" t="s">
        <v>14</v>
      </c>
      <c r="K216" s="44">
        <v>2</v>
      </c>
    </row>
    <row r="217" spans="1:11" ht="20.100000000000001" customHeight="1">
      <c r="A217" s="41">
        <v>212</v>
      </c>
      <c r="B217" s="42" t="s">
        <v>1756</v>
      </c>
      <c r="C217" s="45" t="s">
        <v>1758</v>
      </c>
      <c r="D217" s="45" t="s">
        <v>1759</v>
      </c>
      <c r="E217" s="42"/>
      <c r="F217" s="46"/>
      <c r="G217" s="42">
        <v>1</v>
      </c>
      <c r="H217" s="43"/>
      <c r="I217" s="43">
        <f t="shared" si="4"/>
        <v>0</v>
      </c>
      <c r="J217" s="45"/>
      <c r="K217" s="44">
        <v>1</v>
      </c>
    </row>
    <row r="218" spans="1:11" ht="20.100000000000001" customHeight="1">
      <c r="A218" s="37">
        <v>213</v>
      </c>
      <c r="B218" s="42" t="s">
        <v>1760</v>
      </c>
      <c r="C218" s="45" t="s">
        <v>1761</v>
      </c>
      <c r="D218" s="45" t="s">
        <v>1762</v>
      </c>
      <c r="E218" s="42"/>
      <c r="F218" s="46"/>
      <c r="G218" s="42">
        <v>10</v>
      </c>
      <c r="H218" s="43"/>
      <c r="I218" s="43">
        <f t="shared" si="4"/>
        <v>0</v>
      </c>
      <c r="J218" s="45"/>
      <c r="K218" s="44">
        <v>10</v>
      </c>
    </row>
    <row r="219" spans="1:11" ht="20.100000000000001" customHeight="1">
      <c r="A219" s="41">
        <v>214</v>
      </c>
      <c r="B219" s="42" t="s">
        <v>1763</v>
      </c>
      <c r="C219" s="42">
        <v>40416054</v>
      </c>
      <c r="D219" s="42" t="s">
        <v>1764</v>
      </c>
      <c r="E219" s="42"/>
      <c r="F219" s="42"/>
      <c r="G219" s="42">
        <v>32</v>
      </c>
      <c r="H219" s="43">
        <v>244</v>
      </c>
      <c r="I219" s="43">
        <f t="shared" ref="I219:I263" si="5">H219*G219</f>
        <v>7808</v>
      </c>
      <c r="J219" s="42" t="s">
        <v>14</v>
      </c>
      <c r="K219" s="44">
        <v>32</v>
      </c>
    </row>
    <row r="220" spans="1:11" ht="20.100000000000001" customHeight="1">
      <c r="A220" s="37">
        <v>215</v>
      </c>
      <c r="B220" s="42" t="s">
        <v>1763</v>
      </c>
      <c r="C220" s="42">
        <v>40752334</v>
      </c>
      <c r="D220" s="42"/>
      <c r="E220" s="42"/>
      <c r="F220" s="42"/>
      <c r="G220" s="42">
        <v>166</v>
      </c>
      <c r="H220" s="43">
        <v>0.19</v>
      </c>
      <c r="I220" s="43">
        <f t="shared" si="5"/>
        <v>31.54</v>
      </c>
      <c r="J220" s="42" t="s">
        <v>14</v>
      </c>
      <c r="K220" s="44">
        <v>160</v>
      </c>
    </row>
    <row r="221" spans="1:11" ht="20.100000000000001" customHeight="1">
      <c r="A221" s="41">
        <v>216</v>
      </c>
      <c r="B221" s="42" t="s">
        <v>1765</v>
      </c>
      <c r="C221" s="42">
        <v>40156507</v>
      </c>
      <c r="D221" s="42" t="s">
        <v>1766</v>
      </c>
      <c r="E221" s="42" t="s">
        <v>1767</v>
      </c>
      <c r="F221" s="42" t="s">
        <v>1768</v>
      </c>
      <c r="G221" s="42">
        <v>8</v>
      </c>
      <c r="H221" s="43">
        <v>14.81</v>
      </c>
      <c r="I221" s="43">
        <f t="shared" si="5"/>
        <v>118.48</v>
      </c>
      <c r="J221" s="42" t="s">
        <v>14</v>
      </c>
      <c r="K221" s="44">
        <v>8</v>
      </c>
    </row>
    <row r="222" spans="1:11" ht="20.100000000000001" customHeight="1">
      <c r="A222" s="37">
        <v>217</v>
      </c>
      <c r="B222" s="42" t="s">
        <v>1769</v>
      </c>
      <c r="C222" s="42">
        <v>40779818</v>
      </c>
      <c r="D222" s="42" t="s">
        <v>1770</v>
      </c>
      <c r="E222" s="42"/>
      <c r="F222" s="42"/>
      <c r="G222" s="42">
        <v>20</v>
      </c>
      <c r="H222" s="43">
        <v>66.05</v>
      </c>
      <c r="I222" s="43">
        <f t="shared" si="5"/>
        <v>1321</v>
      </c>
      <c r="J222" s="42" t="s">
        <v>14</v>
      </c>
      <c r="K222" s="44">
        <v>20</v>
      </c>
    </row>
    <row r="223" spans="1:11" ht="20.100000000000001" customHeight="1">
      <c r="A223" s="41">
        <v>218</v>
      </c>
      <c r="B223" s="42" t="s">
        <v>1771</v>
      </c>
      <c r="C223" s="42">
        <v>40089183</v>
      </c>
      <c r="D223" s="42" t="s">
        <v>1772</v>
      </c>
      <c r="E223" s="42" t="s">
        <v>1773</v>
      </c>
      <c r="F223" s="42" t="s">
        <v>1774</v>
      </c>
      <c r="G223" s="42">
        <v>28</v>
      </c>
      <c r="H223" s="43">
        <v>26.56</v>
      </c>
      <c r="I223" s="43">
        <f t="shared" si="5"/>
        <v>743.68</v>
      </c>
      <c r="J223" s="42" t="s">
        <v>14</v>
      </c>
      <c r="K223" s="44">
        <v>28</v>
      </c>
    </row>
    <row r="224" spans="1:11" ht="20.100000000000001" customHeight="1">
      <c r="A224" s="37">
        <v>219</v>
      </c>
      <c r="B224" s="42" t="s">
        <v>1771</v>
      </c>
      <c r="C224" s="42" t="s">
        <v>1775</v>
      </c>
      <c r="D224" s="42" t="s">
        <v>1776</v>
      </c>
      <c r="E224" s="42" t="s">
        <v>912</v>
      </c>
      <c r="F224" s="42" t="s">
        <v>1374</v>
      </c>
      <c r="G224" s="42">
        <v>9</v>
      </c>
      <c r="H224" s="43"/>
      <c r="I224" s="43">
        <f t="shared" si="5"/>
        <v>0</v>
      </c>
      <c r="J224" s="42" t="s">
        <v>14</v>
      </c>
      <c r="K224" s="44">
        <v>9</v>
      </c>
    </row>
    <row r="225" spans="1:11" ht="20.100000000000001" customHeight="1">
      <c r="A225" s="41">
        <v>220</v>
      </c>
      <c r="B225" s="42" t="s">
        <v>1777</v>
      </c>
      <c r="C225" s="42" t="s">
        <v>1778</v>
      </c>
      <c r="D225" s="42" t="s">
        <v>1779</v>
      </c>
      <c r="E225" s="42" t="s">
        <v>1780</v>
      </c>
      <c r="F225" s="42" t="s">
        <v>1781</v>
      </c>
      <c r="G225" s="42">
        <v>100</v>
      </c>
      <c r="H225" s="43"/>
      <c r="I225" s="43">
        <f t="shared" si="5"/>
        <v>0</v>
      </c>
      <c r="J225" s="42" t="s">
        <v>14</v>
      </c>
      <c r="K225" s="44">
        <v>100</v>
      </c>
    </row>
    <row r="226" spans="1:11" ht="20.100000000000001" customHeight="1">
      <c r="A226" s="37">
        <v>221</v>
      </c>
      <c r="B226" s="42" t="s">
        <v>1782</v>
      </c>
      <c r="C226" s="42" t="s">
        <v>1783</v>
      </c>
      <c r="D226" s="42" t="s">
        <v>1776</v>
      </c>
      <c r="E226" s="42" t="s">
        <v>912</v>
      </c>
      <c r="F226" s="42" t="s">
        <v>1784</v>
      </c>
      <c r="G226" s="42">
        <v>27</v>
      </c>
      <c r="H226" s="43"/>
      <c r="I226" s="43">
        <f t="shared" si="5"/>
        <v>0</v>
      </c>
      <c r="J226" s="42" t="s">
        <v>14</v>
      </c>
      <c r="K226" s="44">
        <v>27</v>
      </c>
    </row>
    <row r="227" spans="1:11" ht="20.100000000000001" customHeight="1">
      <c r="A227" s="41">
        <v>222</v>
      </c>
      <c r="B227" s="42" t="s">
        <v>1782</v>
      </c>
      <c r="C227" s="42" t="s">
        <v>1785</v>
      </c>
      <c r="D227" s="42" t="s">
        <v>1776</v>
      </c>
      <c r="E227" s="42" t="s">
        <v>912</v>
      </c>
      <c r="F227" s="42" t="s">
        <v>1786</v>
      </c>
      <c r="G227" s="42">
        <v>49</v>
      </c>
      <c r="H227" s="43"/>
      <c r="I227" s="43">
        <f t="shared" si="5"/>
        <v>0</v>
      </c>
      <c r="J227" s="42" t="s">
        <v>14</v>
      </c>
      <c r="K227" s="44">
        <v>49</v>
      </c>
    </row>
    <row r="228" spans="1:11" ht="20.100000000000001" customHeight="1">
      <c r="A228" s="37">
        <v>223</v>
      </c>
      <c r="B228" s="42" t="s">
        <v>1787</v>
      </c>
      <c r="C228" s="42">
        <v>40691562</v>
      </c>
      <c r="D228" s="42" t="s">
        <v>1788</v>
      </c>
      <c r="E228" s="42" t="s">
        <v>1789</v>
      </c>
      <c r="F228" s="42"/>
      <c r="G228" s="42">
        <v>3</v>
      </c>
      <c r="H228" s="43">
        <v>116.39</v>
      </c>
      <c r="I228" s="43">
        <f t="shared" si="5"/>
        <v>349.17</v>
      </c>
      <c r="J228" s="42" t="s">
        <v>14</v>
      </c>
      <c r="K228" s="44">
        <v>3</v>
      </c>
    </row>
    <row r="229" spans="1:11" ht="20.100000000000001" customHeight="1">
      <c r="A229" s="37"/>
      <c r="B229" s="42" t="s">
        <v>1790</v>
      </c>
      <c r="C229" s="42" t="s">
        <v>3434</v>
      </c>
      <c r="D229" s="42"/>
      <c r="E229" s="42"/>
      <c r="F229" s="42"/>
      <c r="G229" s="42">
        <v>100</v>
      </c>
      <c r="H229" s="43"/>
      <c r="I229" s="43"/>
      <c r="J229" s="42" t="s">
        <v>14</v>
      </c>
      <c r="K229" s="44">
        <v>100</v>
      </c>
    </row>
    <row r="230" spans="1:11" ht="20.100000000000001" customHeight="1">
      <c r="A230" s="41">
        <v>224</v>
      </c>
      <c r="B230" s="42" t="s">
        <v>1790</v>
      </c>
      <c r="C230" s="42" t="s">
        <v>1791</v>
      </c>
      <c r="D230" s="42" t="s">
        <v>1792</v>
      </c>
      <c r="E230" s="42" t="s">
        <v>1793</v>
      </c>
      <c r="F230" s="42" t="s">
        <v>1794</v>
      </c>
      <c r="G230" s="42">
        <v>2</v>
      </c>
      <c r="H230" s="43"/>
      <c r="I230" s="43">
        <f t="shared" si="5"/>
        <v>0</v>
      </c>
      <c r="J230" s="42" t="s">
        <v>14</v>
      </c>
      <c r="K230" s="44">
        <v>2</v>
      </c>
    </row>
    <row r="231" spans="1:11" ht="20.100000000000001" customHeight="1">
      <c r="A231" s="37">
        <v>225</v>
      </c>
      <c r="B231" s="42" t="s">
        <v>1795</v>
      </c>
      <c r="C231" s="45">
        <v>140200450</v>
      </c>
      <c r="D231" s="45" t="s">
        <v>1796</v>
      </c>
      <c r="E231" s="42"/>
      <c r="F231" s="46"/>
      <c r="G231" s="42">
        <v>90</v>
      </c>
      <c r="H231" s="43">
        <f>VLOOKUP(C231,[1]Sheet4!$B$2:$H$344,7,FALSE)</f>
        <v>1.4</v>
      </c>
      <c r="I231" s="43">
        <f t="shared" si="5"/>
        <v>125.99999999999999</v>
      </c>
      <c r="J231" s="45" t="s">
        <v>14</v>
      </c>
      <c r="K231" s="44">
        <v>90</v>
      </c>
    </row>
    <row r="232" spans="1:11" ht="20.100000000000001" customHeight="1">
      <c r="A232" s="41">
        <v>226</v>
      </c>
      <c r="B232" s="42" t="s">
        <v>1797</v>
      </c>
      <c r="C232" s="45" t="s">
        <v>1798</v>
      </c>
      <c r="D232" s="45" t="s">
        <v>1759</v>
      </c>
      <c r="E232" s="42"/>
      <c r="F232" s="46"/>
      <c r="G232" s="42">
        <v>3</v>
      </c>
      <c r="H232" s="43"/>
      <c r="I232" s="43">
        <f t="shared" si="5"/>
        <v>0</v>
      </c>
      <c r="J232" s="45" t="s">
        <v>14</v>
      </c>
      <c r="K232" s="44">
        <v>3</v>
      </c>
    </row>
    <row r="233" spans="1:11" ht="20.100000000000001" customHeight="1">
      <c r="A233" s="37">
        <v>227</v>
      </c>
      <c r="B233" s="42" t="s">
        <v>1799</v>
      </c>
      <c r="C233" s="45">
        <v>40678851</v>
      </c>
      <c r="D233" s="45" t="s">
        <v>1800</v>
      </c>
      <c r="E233" s="42"/>
      <c r="F233" s="46"/>
      <c r="G233" s="42">
        <v>2</v>
      </c>
      <c r="H233" s="43">
        <f>VLOOKUP(C233,[1]Sheet4!$B$2:$H$344,7,FALSE)</f>
        <v>28.08</v>
      </c>
      <c r="I233" s="43">
        <f t="shared" si="5"/>
        <v>56.16</v>
      </c>
      <c r="J233" s="45" t="s">
        <v>14</v>
      </c>
      <c r="K233" s="44">
        <v>1</v>
      </c>
    </row>
    <row r="234" spans="1:11" ht="20.100000000000001" customHeight="1">
      <c r="A234" s="41">
        <v>228</v>
      </c>
      <c r="B234" s="42" t="s">
        <v>1801</v>
      </c>
      <c r="C234" s="45">
        <v>130401117</v>
      </c>
      <c r="D234" s="45" t="s">
        <v>1802</v>
      </c>
      <c r="E234" s="42"/>
      <c r="F234" s="46"/>
      <c r="G234" s="42">
        <v>12</v>
      </c>
      <c r="H234" s="43">
        <f>VLOOKUP(C234,[1]Sheet4!$B$2:$H$344,7,FALSE)</f>
        <v>11.75</v>
      </c>
      <c r="I234" s="43">
        <f t="shared" si="5"/>
        <v>141</v>
      </c>
      <c r="J234" s="45" t="s">
        <v>14</v>
      </c>
      <c r="K234" s="44">
        <v>12</v>
      </c>
    </row>
    <row r="235" spans="1:11" ht="20.100000000000001" customHeight="1">
      <c r="A235" s="37">
        <v>229</v>
      </c>
      <c r="B235" s="42" t="s">
        <v>1803</v>
      </c>
      <c r="C235" s="45" t="s">
        <v>1804</v>
      </c>
      <c r="D235" s="45" t="s">
        <v>1805</v>
      </c>
      <c r="E235" s="42"/>
      <c r="F235" s="46"/>
      <c r="G235" s="42">
        <v>7</v>
      </c>
      <c r="H235" s="43"/>
      <c r="I235" s="43">
        <f t="shared" si="5"/>
        <v>0</v>
      </c>
      <c r="J235" s="45"/>
      <c r="K235" s="44">
        <v>7</v>
      </c>
    </row>
    <row r="236" spans="1:11" ht="20.100000000000001" customHeight="1">
      <c r="A236" s="41">
        <v>230</v>
      </c>
      <c r="B236" s="42" t="s">
        <v>1803</v>
      </c>
      <c r="C236" s="45" t="s">
        <v>1806</v>
      </c>
      <c r="D236" s="45" t="s">
        <v>1746</v>
      </c>
      <c r="E236" s="42"/>
      <c r="F236" s="46"/>
      <c r="G236" s="42">
        <v>15</v>
      </c>
      <c r="H236" s="43"/>
      <c r="I236" s="43">
        <f t="shared" si="5"/>
        <v>0</v>
      </c>
      <c r="J236" s="45" t="s">
        <v>14</v>
      </c>
      <c r="K236" s="44">
        <v>15</v>
      </c>
    </row>
    <row r="237" spans="1:11" ht="20.100000000000001" customHeight="1">
      <c r="A237" s="37">
        <v>231</v>
      </c>
      <c r="B237" s="42" t="s">
        <v>1807</v>
      </c>
      <c r="C237" s="45">
        <v>130401120</v>
      </c>
      <c r="D237" s="45" t="s">
        <v>1808</v>
      </c>
      <c r="E237" s="42"/>
      <c r="F237" s="46"/>
      <c r="G237" s="42">
        <v>11</v>
      </c>
      <c r="H237" s="43">
        <f>VLOOKUP(C237,[1]Sheet4!$B$2:$H$344,7,FALSE)</f>
        <v>4.29</v>
      </c>
      <c r="I237" s="43">
        <f t="shared" si="5"/>
        <v>47.19</v>
      </c>
      <c r="J237" s="45" t="s">
        <v>14</v>
      </c>
      <c r="K237" s="44">
        <v>10</v>
      </c>
    </row>
    <row r="238" spans="1:11" ht="20.100000000000001" customHeight="1">
      <c r="A238" s="41">
        <v>232</v>
      </c>
      <c r="B238" s="42" t="s">
        <v>1809</v>
      </c>
      <c r="C238" s="45">
        <v>130401121</v>
      </c>
      <c r="D238" s="45" t="s">
        <v>1810</v>
      </c>
      <c r="E238" s="42"/>
      <c r="F238" s="46"/>
      <c r="G238" s="42">
        <v>11</v>
      </c>
      <c r="H238" s="43">
        <f>VLOOKUP(C238,[1]Sheet4!$B$2:$H$344,7,FALSE)</f>
        <v>4.72</v>
      </c>
      <c r="I238" s="43">
        <f t="shared" si="5"/>
        <v>51.919999999999995</v>
      </c>
      <c r="J238" s="45" t="s">
        <v>14</v>
      </c>
      <c r="K238" s="44">
        <v>11</v>
      </c>
    </row>
    <row r="239" spans="1:11" ht="20.100000000000001" customHeight="1">
      <c r="A239" s="37">
        <v>233</v>
      </c>
      <c r="B239" s="42" t="s">
        <v>1811</v>
      </c>
      <c r="C239" s="45">
        <v>130400946</v>
      </c>
      <c r="D239" s="45" t="s">
        <v>1812</v>
      </c>
      <c r="E239" s="42"/>
      <c r="F239" s="46"/>
      <c r="G239" s="42">
        <v>15</v>
      </c>
      <c r="H239" s="43">
        <f>VLOOKUP(C239,[1]Sheet4!$B$2:$H$344,7,FALSE)</f>
        <v>22.93</v>
      </c>
      <c r="I239" s="43">
        <f t="shared" si="5"/>
        <v>343.95</v>
      </c>
      <c r="J239" s="45" t="s">
        <v>14</v>
      </c>
      <c r="K239" s="44">
        <v>15</v>
      </c>
    </row>
    <row r="240" spans="1:11" ht="20.100000000000001" customHeight="1">
      <c r="A240" s="41">
        <v>234</v>
      </c>
      <c r="B240" s="42" t="s">
        <v>1813</v>
      </c>
      <c r="C240" s="45">
        <v>13040114</v>
      </c>
      <c r="D240" s="45"/>
      <c r="E240" s="42"/>
      <c r="F240" s="46"/>
      <c r="G240" s="42">
        <v>10</v>
      </c>
      <c r="H240" s="43" t="e">
        <f>VLOOKUP(C240,[1]Sheet4!$B$2:$H$344,7,FALSE)</f>
        <v>#N/A</v>
      </c>
      <c r="I240" s="43" t="e">
        <f t="shared" si="5"/>
        <v>#N/A</v>
      </c>
      <c r="J240" s="45" t="s">
        <v>14</v>
      </c>
      <c r="K240" s="44">
        <v>10</v>
      </c>
    </row>
    <row r="241" spans="1:11" ht="20.100000000000001" customHeight="1">
      <c r="A241" s="37">
        <v>235</v>
      </c>
      <c r="B241" s="42" t="s">
        <v>1814</v>
      </c>
      <c r="C241" s="45">
        <v>130400193</v>
      </c>
      <c r="D241" s="45" t="s">
        <v>1815</v>
      </c>
      <c r="E241" s="42"/>
      <c r="F241" s="46"/>
      <c r="G241" s="42">
        <v>9</v>
      </c>
      <c r="H241" s="43">
        <f>VLOOKUP(C241,[1]Sheet4!$B$2:$H$344,7,FALSE)</f>
        <v>9.11</v>
      </c>
      <c r="I241" s="43">
        <f t="shared" si="5"/>
        <v>81.99</v>
      </c>
      <c r="J241" s="45" t="s">
        <v>14</v>
      </c>
      <c r="K241" s="44">
        <v>9</v>
      </c>
    </row>
    <row r="242" spans="1:11" ht="20.100000000000001" customHeight="1">
      <c r="A242" s="41">
        <v>236</v>
      </c>
      <c r="B242" s="42" t="s">
        <v>1816</v>
      </c>
      <c r="C242" s="45">
        <v>130401110</v>
      </c>
      <c r="D242" s="45" t="s">
        <v>1817</v>
      </c>
      <c r="E242" s="42"/>
      <c r="F242" s="46"/>
      <c r="G242" s="42">
        <v>10</v>
      </c>
      <c r="H242" s="43">
        <f>VLOOKUP(C242,[1]Sheet4!$B$2:$H$344,7,FALSE)</f>
        <v>13.9</v>
      </c>
      <c r="I242" s="43">
        <f t="shared" si="5"/>
        <v>139</v>
      </c>
      <c r="J242" s="45" t="s">
        <v>14</v>
      </c>
      <c r="K242" s="44">
        <v>10</v>
      </c>
    </row>
    <row r="243" spans="1:11" ht="20.100000000000001" customHeight="1">
      <c r="A243" s="37">
        <v>237</v>
      </c>
      <c r="B243" s="42" t="s">
        <v>1818</v>
      </c>
      <c r="C243" s="45">
        <v>131100099</v>
      </c>
      <c r="D243" s="45" t="s">
        <v>1819</v>
      </c>
      <c r="E243" s="42"/>
      <c r="F243" s="46"/>
      <c r="G243" s="42">
        <v>10</v>
      </c>
      <c r="H243" s="43">
        <f>VLOOKUP(C243,[1]Sheet4!$B$2:$H$344,7,FALSE)</f>
        <v>14.47</v>
      </c>
      <c r="I243" s="43">
        <f t="shared" si="5"/>
        <v>144.70000000000002</v>
      </c>
      <c r="J243" s="45" t="s">
        <v>14</v>
      </c>
      <c r="K243" s="44">
        <v>10</v>
      </c>
    </row>
    <row r="244" spans="1:11" ht="20.100000000000001" customHeight="1">
      <c r="A244" s="41">
        <v>238</v>
      </c>
      <c r="B244" s="42" t="s">
        <v>1818</v>
      </c>
      <c r="C244" s="45">
        <v>130401107</v>
      </c>
      <c r="D244" s="45" t="s">
        <v>1820</v>
      </c>
      <c r="E244" s="42"/>
      <c r="F244" s="46"/>
      <c r="G244" s="42">
        <v>15</v>
      </c>
      <c r="H244" s="43">
        <f>VLOOKUP(C244,[1]Sheet4!$B$2:$H$344,7,FALSE)</f>
        <v>11.46</v>
      </c>
      <c r="I244" s="43">
        <f t="shared" si="5"/>
        <v>171.9</v>
      </c>
      <c r="J244" s="45" t="s">
        <v>14</v>
      </c>
      <c r="K244" s="44">
        <v>15</v>
      </c>
    </row>
    <row r="245" spans="1:11" ht="20.100000000000001" customHeight="1">
      <c r="A245" s="37">
        <v>239</v>
      </c>
      <c r="B245" s="42" t="s">
        <v>1821</v>
      </c>
      <c r="C245" s="45">
        <v>130401124</v>
      </c>
      <c r="D245" s="45" t="s">
        <v>1822</v>
      </c>
      <c r="E245" s="42"/>
      <c r="F245" s="46"/>
      <c r="G245" s="42">
        <v>15</v>
      </c>
      <c r="H245" s="43">
        <f>VLOOKUP(C245,[1]Sheet4!$B$2:$H$344,7,FALSE)</f>
        <v>4.72</v>
      </c>
      <c r="I245" s="43">
        <f t="shared" si="5"/>
        <v>70.8</v>
      </c>
      <c r="J245" s="45" t="s">
        <v>14</v>
      </c>
      <c r="K245" s="44">
        <v>14</v>
      </c>
    </row>
    <row r="246" spans="1:11" ht="20.100000000000001" customHeight="1">
      <c r="A246" s="41">
        <v>240</v>
      </c>
      <c r="B246" s="42" t="s">
        <v>1821</v>
      </c>
      <c r="C246" s="45">
        <v>130401118</v>
      </c>
      <c r="D246" s="45" t="s">
        <v>1823</v>
      </c>
      <c r="E246" s="42"/>
      <c r="F246" s="46"/>
      <c r="G246" s="42">
        <v>10</v>
      </c>
      <c r="H246" s="43">
        <f>VLOOKUP(C246,[1]Sheet4!$B$2:$H$344,7,FALSE)</f>
        <v>9.4499999999999993</v>
      </c>
      <c r="I246" s="43">
        <f t="shared" si="5"/>
        <v>94.5</v>
      </c>
      <c r="J246" s="45" t="s">
        <v>14</v>
      </c>
      <c r="K246" s="44">
        <v>10</v>
      </c>
    </row>
    <row r="247" spans="1:11" ht="20.100000000000001" customHeight="1">
      <c r="A247" s="37">
        <v>241</v>
      </c>
      <c r="B247" s="42" t="s">
        <v>1824</v>
      </c>
      <c r="C247" s="45">
        <v>130401105</v>
      </c>
      <c r="D247" s="45" t="s">
        <v>1825</v>
      </c>
      <c r="E247" s="42"/>
      <c r="F247" s="46"/>
      <c r="G247" s="42">
        <v>13</v>
      </c>
      <c r="H247" s="43">
        <f>VLOOKUP(C247,[1]Sheet4!$B$2:$H$344,7,FALSE)</f>
        <v>100.37</v>
      </c>
      <c r="I247" s="43">
        <f t="shared" si="5"/>
        <v>1304.81</v>
      </c>
      <c r="J247" s="45" t="s">
        <v>14</v>
      </c>
      <c r="K247" s="44">
        <v>13</v>
      </c>
    </row>
    <row r="248" spans="1:11" ht="20.100000000000001" customHeight="1">
      <c r="A248" s="41">
        <v>242</v>
      </c>
      <c r="B248" s="42" t="s">
        <v>1826</v>
      </c>
      <c r="C248" s="45">
        <v>130400192</v>
      </c>
      <c r="D248" s="45" t="s">
        <v>1827</v>
      </c>
      <c r="E248" s="42"/>
      <c r="F248" s="46"/>
      <c r="G248" s="42">
        <v>10</v>
      </c>
      <c r="H248" s="43">
        <f>VLOOKUP(C248,[1]Sheet4!$B$2:$H$344,7,FALSE)</f>
        <v>14.33</v>
      </c>
      <c r="I248" s="43">
        <f t="shared" si="5"/>
        <v>143.30000000000001</v>
      </c>
      <c r="J248" s="45" t="s">
        <v>14</v>
      </c>
      <c r="K248" s="44">
        <v>10</v>
      </c>
    </row>
    <row r="249" spans="1:11" ht="20.100000000000001" customHeight="1">
      <c r="A249" s="37">
        <v>243</v>
      </c>
      <c r="B249" s="42" t="s">
        <v>1828</v>
      </c>
      <c r="C249" s="45">
        <v>130401108</v>
      </c>
      <c r="D249" s="45" t="s">
        <v>1829</v>
      </c>
      <c r="E249" s="42"/>
      <c r="F249" s="46"/>
      <c r="G249" s="42">
        <v>10</v>
      </c>
      <c r="H249" s="43">
        <f>VLOOKUP(C249,[1]Sheet4!$B$2:$H$344,7,FALSE)</f>
        <v>11.46</v>
      </c>
      <c r="I249" s="43">
        <f t="shared" si="5"/>
        <v>114.60000000000001</v>
      </c>
      <c r="J249" s="45" t="s">
        <v>14</v>
      </c>
      <c r="K249" s="44">
        <v>10</v>
      </c>
    </row>
    <row r="250" spans="1:11" ht="20.100000000000001" customHeight="1">
      <c r="A250" s="41">
        <v>244</v>
      </c>
      <c r="B250" s="42" t="s">
        <v>1830</v>
      </c>
      <c r="C250" s="45">
        <v>130401119</v>
      </c>
      <c r="D250" s="45" t="s">
        <v>1831</v>
      </c>
      <c r="E250" s="42"/>
      <c r="F250" s="46"/>
      <c r="G250" s="42">
        <v>15</v>
      </c>
      <c r="H250" s="43">
        <f>VLOOKUP(C250,[1]Sheet4!$B$2:$H$344,7,FALSE)</f>
        <v>4.29</v>
      </c>
      <c r="I250" s="43">
        <f t="shared" si="5"/>
        <v>64.349999999999994</v>
      </c>
      <c r="J250" s="45" t="s">
        <v>14</v>
      </c>
      <c r="K250" s="44">
        <v>15</v>
      </c>
    </row>
    <row r="251" spans="1:11" ht="20.100000000000001" customHeight="1">
      <c r="A251" s="37">
        <v>245</v>
      </c>
      <c r="B251" s="42" t="s">
        <v>1830</v>
      </c>
      <c r="C251" s="45">
        <v>130401112</v>
      </c>
      <c r="D251" s="45" t="s">
        <v>1832</v>
      </c>
      <c r="E251" s="42"/>
      <c r="F251" s="46"/>
      <c r="G251" s="42">
        <v>10</v>
      </c>
      <c r="H251" s="43">
        <f>VLOOKUP(C251,[1]Sheet4!$B$2:$H$344,7,FALSE)</f>
        <v>6.58</v>
      </c>
      <c r="I251" s="43">
        <f t="shared" si="5"/>
        <v>65.8</v>
      </c>
      <c r="J251" s="45" t="s">
        <v>14</v>
      </c>
      <c r="K251" s="44">
        <v>10</v>
      </c>
    </row>
    <row r="252" spans="1:11" ht="20.100000000000001" customHeight="1">
      <c r="A252" s="41">
        <v>246</v>
      </c>
      <c r="B252" s="42" t="s">
        <v>1833</v>
      </c>
      <c r="C252" s="45">
        <v>130400945</v>
      </c>
      <c r="D252" s="45" t="s">
        <v>1834</v>
      </c>
      <c r="E252" s="42"/>
      <c r="F252" s="46"/>
      <c r="G252" s="42">
        <v>5</v>
      </c>
      <c r="H252" s="43">
        <f>VLOOKUP(C252,[1]Sheet4!$B$2:$H$344,7,FALSE)</f>
        <v>34.4</v>
      </c>
      <c r="I252" s="43">
        <f t="shared" si="5"/>
        <v>172</v>
      </c>
      <c r="J252" s="45" t="s">
        <v>14</v>
      </c>
      <c r="K252" s="44">
        <v>5</v>
      </c>
    </row>
    <row r="253" spans="1:11" ht="20.100000000000001" customHeight="1">
      <c r="A253" s="37">
        <v>247</v>
      </c>
      <c r="B253" s="42" t="s">
        <v>1835</v>
      </c>
      <c r="C253" s="45">
        <v>130401111</v>
      </c>
      <c r="D253" s="45" t="s">
        <v>1836</v>
      </c>
      <c r="E253" s="42"/>
      <c r="F253" s="46"/>
      <c r="G253" s="42">
        <v>15</v>
      </c>
      <c r="H253" s="43">
        <f>VLOOKUP(C253,[1]Sheet4!$B$2:$H$344,7,FALSE)</f>
        <v>17.2</v>
      </c>
      <c r="I253" s="43">
        <f t="shared" si="5"/>
        <v>258</v>
      </c>
      <c r="J253" s="45" t="s">
        <v>14</v>
      </c>
      <c r="K253" s="44">
        <v>15</v>
      </c>
    </row>
    <row r="254" spans="1:11" ht="20.100000000000001" customHeight="1">
      <c r="A254" s="41">
        <v>248</v>
      </c>
      <c r="B254" s="42" t="s">
        <v>1837</v>
      </c>
      <c r="C254" s="45">
        <v>130401106</v>
      </c>
      <c r="D254" s="45" t="s">
        <v>1838</v>
      </c>
      <c r="E254" s="42"/>
      <c r="F254" s="46"/>
      <c r="G254" s="42">
        <v>15</v>
      </c>
      <c r="H254" s="43">
        <f>VLOOKUP(C254,[1]Sheet4!$B$2:$H$344,7,FALSE)</f>
        <v>11.46</v>
      </c>
      <c r="I254" s="43">
        <f t="shared" si="5"/>
        <v>171.9</v>
      </c>
      <c r="J254" s="45" t="s">
        <v>14</v>
      </c>
      <c r="K254" s="44">
        <v>15</v>
      </c>
    </row>
    <row r="255" spans="1:11" ht="20.100000000000001" customHeight="1">
      <c r="A255" s="37">
        <v>249</v>
      </c>
      <c r="B255" s="42" t="s">
        <v>1839</v>
      </c>
      <c r="C255" s="45">
        <v>130401116</v>
      </c>
      <c r="D255" s="45" t="s">
        <v>1840</v>
      </c>
      <c r="E255" s="42"/>
      <c r="F255" s="46"/>
      <c r="G255" s="42">
        <v>15</v>
      </c>
      <c r="H255" s="43">
        <f>VLOOKUP(C255,[1]Sheet4!$B$2:$H$344,7,FALSE)</f>
        <v>10.89</v>
      </c>
      <c r="I255" s="43">
        <f t="shared" si="5"/>
        <v>163.35000000000002</v>
      </c>
      <c r="J255" s="45" t="s">
        <v>14</v>
      </c>
      <c r="K255" s="44">
        <v>15</v>
      </c>
    </row>
    <row r="256" spans="1:11" ht="20.100000000000001" customHeight="1">
      <c r="A256" s="41">
        <v>250</v>
      </c>
      <c r="B256" s="42" t="s">
        <v>1839</v>
      </c>
      <c r="C256" s="45">
        <v>130401115</v>
      </c>
      <c r="D256" s="45" t="s">
        <v>1841</v>
      </c>
      <c r="E256" s="42"/>
      <c r="F256" s="46"/>
      <c r="G256" s="42">
        <v>3</v>
      </c>
      <c r="H256" s="43">
        <f>VLOOKUP(C256,[1]Sheet4!$B$2:$H$344,7,FALSE)</f>
        <v>4.58</v>
      </c>
      <c r="I256" s="43">
        <f t="shared" si="5"/>
        <v>13.74</v>
      </c>
      <c r="J256" s="45" t="s">
        <v>14</v>
      </c>
      <c r="K256" s="44">
        <v>3</v>
      </c>
    </row>
    <row r="257" spans="1:11" ht="20.100000000000001" customHeight="1">
      <c r="A257" s="37">
        <v>251</v>
      </c>
      <c r="B257" s="42" t="s">
        <v>1842</v>
      </c>
      <c r="C257" s="45">
        <v>130600170</v>
      </c>
      <c r="D257" s="45" t="s">
        <v>1843</v>
      </c>
      <c r="E257" s="42"/>
      <c r="F257" s="46"/>
      <c r="G257" s="42">
        <v>9</v>
      </c>
      <c r="H257" s="43">
        <f>VLOOKUP(C257,[1]Sheet4!$B$2:$H$344,7,FALSE)</f>
        <v>74.430000000000007</v>
      </c>
      <c r="I257" s="43">
        <f t="shared" si="5"/>
        <v>669.87000000000012</v>
      </c>
      <c r="J257" s="45" t="s">
        <v>14</v>
      </c>
      <c r="K257" s="44">
        <v>8</v>
      </c>
    </row>
    <row r="258" spans="1:11" ht="20.100000000000001" customHeight="1">
      <c r="A258" s="41">
        <v>252</v>
      </c>
      <c r="B258" s="42" t="s">
        <v>1844</v>
      </c>
      <c r="C258" s="42">
        <v>40156471</v>
      </c>
      <c r="D258" s="42" t="s">
        <v>1845</v>
      </c>
      <c r="E258" s="42" t="s">
        <v>1846</v>
      </c>
      <c r="F258" s="42"/>
      <c r="G258" s="42">
        <v>33</v>
      </c>
      <c r="H258" s="43">
        <v>100.67</v>
      </c>
      <c r="I258" s="43">
        <f t="shared" si="5"/>
        <v>3322.11</v>
      </c>
      <c r="J258" s="42" t="s">
        <v>14</v>
      </c>
      <c r="K258" s="44">
        <v>33</v>
      </c>
    </row>
    <row r="259" spans="1:11" ht="20.100000000000001" customHeight="1">
      <c r="A259" s="37">
        <v>253</v>
      </c>
      <c r="B259" s="42" t="s">
        <v>1847</v>
      </c>
      <c r="C259" s="42">
        <v>40156470</v>
      </c>
      <c r="D259" s="42" t="s">
        <v>1848</v>
      </c>
      <c r="E259" s="42" t="s">
        <v>1849</v>
      </c>
      <c r="F259" s="42"/>
      <c r="G259" s="42">
        <v>26</v>
      </c>
      <c r="H259" s="43">
        <v>100.73</v>
      </c>
      <c r="I259" s="43">
        <f t="shared" si="5"/>
        <v>2618.98</v>
      </c>
      <c r="J259" s="42" t="s">
        <v>14</v>
      </c>
      <c r="K259" s="44">
        <v>26</v>
      </c>
    </row>
    <row r="260" spans="1:11" ht="20.100000000000001" customHeight="1">
      <c r="A260" s="41">
        <v>254</v>
      </c>
      <c r="B260" s="42" t="s">
        <v>1850</v>
      </c>
      <c r="C260" s="42" t="s">
        <v>1851</v>
      </c>
      <c r="D260" s="42" t="s">
        <v>1852</v>
      </c>
      <c r="E260" s="42" t="s">
        <v>1853</v>
      </c>
      <c r="F260" s="42"/>
      <c r="G260" s="42">
        <v>1</v>
      </c>
      <c r="H260" s="43"/>
      <c r="I260" s="43">
        <f t="shared" si="5"/>
        <v>0</v>
      </c>
      <c r="J260" s="42" t="s">
        <v>14</v>
      </c>
      <c r="K260" s="44">
        <v>1</v>
      </c>
    </row>
    <row r="261" spans="1:11" ht="20.100000000000001" customHeight="1">
      <c r="A261" s="37">
        <v>255</v>
      </c>
      <c r="B261" s="42" t="s">
        <v>1854</v>
      </c>
      <c r="C261" s="42">
        <v>40694649</v>
      </c>
      <c r="D261" s="42" t="s">
        <v>848</v>
      </c>
      <c r="E261" s="42" t="s">
        <v>1855</v>
      </c>
      <c r="F261" s="42"/>
      <c r="G261" s="42">
        <v>1</v>
      </c>
      <c r="H261" s="43">
        <v>390.99</v>
      </c>
      <c r="I261" s="43">
        <f t="shared" si="5"/>
        <v>390.99</v>
      </c>
      <c r="J261" s="42" t="s">
        <v>14</v>
      </c>
      <c r="K261" s="44">
        <v>1</v>
      </c>
    </row>
    <row r="262" spans="1:11" ht="20.100000000000001" customHeight="1">
      <c r="A262" s="41">
        <v>256</v>
      </c>
      <c r="B262" s="42" t="s">
        <v>1856</v>
      </c>
      <c r="C262" s="42">
        <v>40677264</v>
      </c>
      <c r="D262" s="42" t="s">
        <v>1857</v>
      </c>
      <c r="E262" s="42" t="s">
        <v>1858</v>
      </c>
      <c r="F262" s="42" t="s">
        <v>1391</v>
      </c>
      <c r="G262" s="42">
        <v>24</v>
      </c>
      <c r="H262" s="43">
        <v>83.68</v>
      </c>
      <c r="I262" s="43">
        <f t="shared" si="5"/>
        <v>2008.3200000000002</v>
      </c>
      <c r="J262" s="42" t="s">
        <v>14</v>
      </c>
      <c r="K262" s="44">
        <v>24</v>
      </c>
    </row>
    <row r="263" spans="1:11" ht="20.100000000000001" customHeight="1">
      <c r="A263" s="37">
        <v>257</v>
      </c>
      <c r="B263" s="42" t="s">
        <v>1859</v>
      </c>
      <c r="C263" s="42">
        <v>40483756</v>
      </c>
      <c r="D263" s="45" t="s">
        <v>1860</v>
      </c>
      <c r="E263" s="42"/>
      <c r="F263" s="46"/>
      <c r="G263" s="42">
        <v>142</v>
      </c>
      <c r="H263" s="43">
        <f>VLOOKUP(C263,[1]Sheet4!$B$2:$H$344,7,FALSE)</f>
        <v>18.100000000000001</v>
      </c>
      <c r="I263" s="43">
        <f t="shared" si="5"/>
        <v>2570.2000000000003</v>
      </c>
      <c r="J263" s="45" t="s">
        <v>14</v>
      </c>
      <c r="K263" s="44">
        <v>138</v>
      </c>
    </row>
    <row r="264" spans="1:11" ht="20.100000000000001" customHeight="1">
      <c r="A264" s="41">
        <v>258</v>
      </c>
      <c r="B264" s="42" t="s">
        <v>1861</v>
      </c>
      <c r="C264" s="45" t="s">
        <v>1862</v>
      </c>
      <c r="D264" s="45"/>
      <c r="E264" s="42"/>
      <c r="F264" s="46"/>
      <c r="G264" s="42">
        <v>58</v>
      </c>
      <c r="H264" s="47"/>
      <c r="I264" s="47"/>
      <c r="J264" s="45" t="s">
        <v>14</v>
      </c>
      <c r="K264" s="44">
        <v>58</v>
      </c>
    </row>
    <row r="265" spans="1:11" ht="20.100000000000001" customHeight="1">
      <c r="A265" s="37">
        <v>259</v>
      </c>
      <c r="B265" s="42" t="s">
        <v>1863</v>
      </c>
      <c r="C265" s="45">
        <v>40639981</v>
      </c>
      <c r="D265" s="45" t="s">
        <v>1864</v>
      </c>
      <c r="E265" s="42"/>
      <c r="F265" s="46"/>
      <c r="G265" s="42">
        <v>38</v>
      </c>
      <c r="H265" s="47">
        <v>17.329999999999998</v>
      </c>
      <c r="I265" s="47">
        <f t="shared" ref="I265:I270" si="6">H265*G265</f>
        <v>658.54</v>
      </c>
      <c r="J265" s="45" t="s">
        <v>14</v>
      </c>
      <c r="K265" s="44">
        <v>38</v>
      </c>
    </row>
    <row r="266" spans="1:11" ht="20.100000000000001" customHeight="1">
      <c r="A266" s="41">
        <v>260</v>
      </c>
      <c r="B266" s="42" t="s">
        <v>1865</v>
      </c>
      <c r="C266" s="45">
        <v>40639978</v>
      </c>
      <c r="D266" s="45" t="s">
        <v>1866</v>
      </c>
      <c r="E266" s="42"/>
      <c r="F266" s="46"/>
      <c r="G266" s="42">
        <v>36</v>
      </c>
      <c r="H266" s="47">
        <v>4.97</v>
      </c>
      <c r="I266" s="47">
        <f t="shared" si="6"/>
        <v>178.92</v>
      </c>
      <c r="J266" s="45" t="s">
        <v>14</v>
      </c>
      <c r="K266" s="44">
        <v>36</v>
      </c>
    </row>
    <row r="267" spans="1:11" ht="20.100000000000001" customHeight="1">
      <c r="A267" s="41">
        <v>262</v>
      </c>
      <c r="B267" s="42" t="s">
        <v>1867</v>
      </c>
      <c r="C267" s="45">
        <v>40128639</v>
      </c>
      <c r="D267" s="45" t="s">
        <v>1868</v>
      </c>
      <c r="E267" s="42"/>
      <c r="F267" s="46"/>
      <c r="G267" s="42">
        <v>6</v>
      </c>
      <c r="H267" s="47">
        <v>32.96</v>
      </c>
      <c r="I267" s="47">
        <f t="shared" si="6"/>
        <v>197.76</v>
      </c>
      <c r="J267" s="45" t="s">
        <v>14</v>
      </c>
      <c r="K267" s="44">
        <v>5</v>
      </c>
    </row>
    <row r="268" spans="1:11" ht="20.100000000000001" customHeight="1">
      <c r="A268" s="37">
        <v>263</v>
      </c>
      <c r="B268" s="42" t="s">
        <v>1869</v>
      </c>
      <c r="C268" s="42" t="s">
        <v>1870</v>
      </c>
      <c r="D268" s="42" t="s">
        <v>1871</v>
      </c>
      <c r="E268" s="42" t="s">
        <v>1872</v>
      </c>
      <c r="F268" s="42"/>
      <c r="G268" s="42">
        <v>35</v>
      </c>
      <c r="H268" s="43"/>
      <c r="I268" s="43">
        <f t="shared" si="6"/>
        <v>0</v>
      </c>
      <c r="J268" s="42" t="s">
        <v>14</v>
      </c>
      <c r="K268" s="44">
        <v>35</v>
      </c>
    </row>
    <row r="269" spans="1:11" ht="20.100000000000001" customHeight="1">
      <c r="A269" s="41">
        <v>264</v>
      </c>
      <c r="B269" s="42" t="s">
        <v>1873</v>
      </c>
      <c r="C269" s="42">
        <v>40626341</v>
      </c>
      <c r="D269" s="42" t="s">
        <v>1874</v>
      </c>
      <c r="E269" s="42" t="s">
        <v>1875</v>
      </c>
      <c r="F269" s="42"/>
      <c r="G269" s="42">
        <v>8</v>
      </c>
      <c r="H269" s="43">
        <v>985.65</v>
      </c>
      <c r="I269" s="43">
        <f t="shared" si="6"/>
        <v>7885.2</v>
      </c>
      <c r="J269" s="42" t="s">
        <v>14</v>
      </c>
      <c r="K269" s="44">
        <v>8</v>
      </c>
    </row>
    <row r="270" spans="1:11" ht="20.100000000000001" customHeight="1">
      <c r="A270" s="37">
        <v>265</v>
      </c>
      <c r="B270" s="42" t="s">
        <v>1876</v>
      </c>
      <c r="C270" s="42">
        <v>40626340</v>
      </c>
      <c r="D270" s="42" t="s">
        <v>1877</v>
      </c>
      <c r="E270" s="42" t="s">
        <v>1878</v>
      </c>
      <c r="F270" s="42"/>
      <c r="G270" s="42">
        <v>8</v>
      </c>
      <c r="H270" s="43">
        <v>339.88</v>
      </c>
      <c r="I270" s="43">
        <f t="shared" si="6"/>
        <v>2719.04</v>
      </c>
      <c r="J270" s="42" t="s">
        <v>14</v>
      </c>
      <c r="K270" s="44">
        <v>8</v>
      </c>
    </row>
    <row r="271" spans="1:11" ht="20.100000000000001" customHeight="1">
      <c r="A271" s="41">
        <v>266</v>
      </c>
      <c r="B271" s="42" t="s">
        <v>1879</v>
      </c>
      <c r="C271" s="45" t="s">
        <v>1880</v>
      </c>
      <c r="D271" s="45"/>
      <c r="E271" s="42"/>
      <c r="F271" s="46"/>
      <c r="G271" s="42">
        <v>40</v>
      </c>
      <c r="H271" s="47"/>
      <c r="I271" s="47"/>
      <c r="J271" s="45" t="s">
        <v>14</v>
      </c>
      <c r="K271" s="44">
        <v>40</v>
      </c>
    </row>
    <row r="272" spans="1:11" ht="20.100000000000001" customHeight="1">
      <c r="A272" s="37"/>
      <c r="B272" s="42" t="s">
        <v>3430</v>
      </c>
      <c r="C272" s="45">
        <v>190100210</v>
      </c>
      <c r="D272" s="45"/>
      <c r="E272" s="42"/>
      <c r="F272" s="46"/>
      <c r="G272" s="42">
        <v>10</v>
      </c>
      <c r="H272" s="47"/>
      <c r="I272" s="47"/>
      <c r="J272" s="45" t="s">
        <v>14</v>
      </c>
      <c r="K272" s="44">
        <v>9</v>
      </c>
    </row>
    <row r="273" spans="1:11" ht="20.100000000000001" customHeight="1">
      <c r="A273" s="37">
        <v>267</v>
      </c>
      <c r="B273" s="42" t="s">
        <v>1881</v>
      </c>
      <c r="C273" s="42">
        <v>160503137</v>
      </c>
      <c r="D273" s="45" t="s">
        <v>1882</v>
      </c>
      <c r="E273" s="42"/>
      <c r="F273" s="46"/>
      <c r="G273" s="42">
        <v>16</v>
      </c>
      <c r="H273" s="43">
        <f>VLOOKUP(C273,[1]Sheet4!$B$2:$H$344,7,FALSE)</f>
        <v>0.75</v>
      </c>
      <c r="I273" s="43">
        <f t="shared" ref="I273:I300" si="7">H273*G273</f>
        <v>12</v>
      </c>
      <c r="J273" s="45" t="s">
        <v>14</v>
      </c>
      <c r="K273" s="44">
        <v>16</v>
      </c>
    </row>
    <row r="274" spans="1:11" ht="20.100000000000001" customHeight="1">
      <c r="A274" s="41">
        <v>268</v>
      </c>
      <c r="B274" s="42" t="s">
        <v>1881</v>
      </c>
      <c r="C274" s="45" t="s">
        <v>1883</v>
      </c>
      <c r="D274" s="45"/>
      <c r="E274" s="42"/>
      <c r="F274" s="46"/>
      <c r="G274" s="42">
        <v>40</v>
      </c>
      <c r="H274" s="43"/>
      <c r="I274" s="43">
        <f t="shared" si="7"/>
        <v>0</v>
      </c>
      <c r="J274" s="45"/>
      <c r="K274" s="44">
        <v>40</v>
      </c>
    </row>
    <row r="275" spans="1:11" ht="20.100000000000001" customHeight="1">
      <c r="A275" s="37">
        <v>269</v>
      </c>
      <c r="B275" s="42" t="s">
        <v>1884</v>
      </c>
      <c r="C275" s="42" t="s">
        <v>1885</v>
      </c>
      <c r="D275" s="42"/>
      <c r="E275" s="42"/>
      <c r="F275" s="42"/>
      <c r="G275" s="42">
        <v>4</v>
      </c>
      <c r="H275" s="43"/>
      <c r="I275" s="43">
        <f t="shared" si="7"/>
        <v>0</v>
      </c>
      <c r="J275" s="42" t="s">
        <v>14</v>
      </c>
      <c r="K275" s="44">
        <v>3</v>
      </c>
    </row>
    <row r="276" spans="1:11" ht="20.100000000000001" customHeight="1">
      <c r="A276" s="41">
        <v>270</v>
      </c>
      <c r="B276" s="42" t="s">
        <v>1886</v>
      </c>
      <c r="C276" s="42">
        <v>160103164</v>
      </c>
      <c r="D276" s="45" t="s">
        <v>1887</v>
      </c>
      <c r="E276" s="42"/>
      <c r="F276" s="46"/>
      <c r="G276" s="42">
        <v>103</v>
      </c>
      <c r="H276" s="43">
        <f>VLOOKUP(C276,[1]Sheet4!$B$2:$H$344,7,FALSE)</f>
        <v>3.52</v>
      </c>
      <c r="I276" s="43">
        <f t="shared" si="7"/>
        <v>362.56</v>
      </c>
      <c r="J276" s="45" t="s">
        <v>14</v>
      </c>
      <c r="K276" s="44">
        <v>103</v>
      </c>
    </row>
    <row r="277" spans="1:11" ht="20.100000000000001" customHeight="1">
      <c r="A277" s="37">
        <v>271</v>
      </c>
      <c r="B277" s="42" t="s">
        <v>1888</v>
      </c>
      <c r="C277" s="42">
        <v>40701886</v>
      </c>
      <c r="D277" s="42" t="s">
        <v>1889</v>
      </c>
      <c r="E277" s="42" t="s">
        <v>1890</v>
      </c>
      <c r="F277" s="42"/>
      <c r="G277" s="42">
        <v>2</v>
      </c>
      <c r="H277" s="43">
        <v>1021.23</v>
      </c>
      <c r="I277" s="43">
        <f t="shared" si="7"/>
        <v>2042.46</v>
      </c>
      <c r="J277" s="42" t="s">
        <v>59</v>
      </c>
      <c r="K277" s="44">
        <v>2</v>
      </c>
    </row>
    <row r="278" spans="1:11" ht="20.100000000000001" customHeight="1">
      <c r="A278" s="41">
        <v>272</v>
      </c>
      <c r="B278" s="42" t="s">
        <v>1891</v>
      </c>
      <c r="C278" s="42">
        <v>40662721</v>
      </c>
      <c r="D278" s="42" t="s">
        <v>1892</v>
      </c>
      <c r="E278" s="42" t="s">
        <v>1893</v>
      </c>
      <c r="F278" s="42">
        <v>30232</v>
      </c>
      <c r="G278" s="42">
        <v>8</v>
      </c>
      <c r="H278" s="43">
        <v>0</v>
      </c>
      <c r="I278" s="43">
        <f t="shared" si="7"/>
        <v>0</v>
      </c>
      <c r="J278" s="42" t="s">
        <v>14</v>
      </c>
      <c r="K278" s="44">
        <v>8</v>
      </c>
    </row>
    <row r="279" spans="1:11" ht="20.100000000000001" customHeight="1">
      <c r="A279" s="37">
        <v>273</v>
      </c>
      <c r="B279" s="42" t="s">
        <v>1894</v>
      </c>
      <c r="C279" s="45" t="s">
        <v>1895</v>
      </c>
      <c r="D279" s="45" t="s">
        <v>1896</v>
      </c>
      <c r="E279" s="42"/>
      <c r="F279" s="46"/>
      <c r="G279" s="42">
        <v>7</v>
      </c>
      <c r="H279" s="43"/>
      <c r="I279" s="43">
        <f t="shared" si="7"/>
        <v>0</v>
      </c>
      <c r="J279" s="45"/>
      <c r="K279" s="44">
        <v>6</v>
      </c>
    </row>
    <row r="280" spans="1:11" ht="20.100000000000001" customHeight="1">
      <c r="A280" s="41">
        <v>274</v>
      </c>
      <c r="B280" s="42" t="s">
        <v>1897</v>
      </c>
      <c r="C280" s="50">
        <v>40701228</v>
      </c>
      <c r="D280" s="42" t="s">
        <v>1852</v>
      </c>
      <c r="E280" s="42" t="s">
        <v>1853</v>
      </c>
      <c r="F280" s="42"/>
      <c r="G280" s="42">
        <v>1</v>
      </c>
      <c r="H280" s="43" t="e">
        <f>VLOOKUP(C280,[1]Sheet4!$B$2:$H$344,7,FALSE)</f>
        <v>#N/A</v>
      </c>
      <c r="I280" s="43" t="e">
        <f t="shared" si="7"/>
        <v>#N/A</v>
      </c>
      <c r="J280" s="42" t="s">
        <v>14</v>
      </c>
      <c r="K280" s="44">
        <v>1</v>
      </c>
    </row>
    <row r="281" spans="1:11" ht="20.100000000000001" customHeight="1">
      <c r="A281" s="37">
        <v>275</v>
      </c>
      <c r="B281" s="42" t="s">
        <v>1898</v>
      </c>
      <c r="C281" s="42" t="s">
        <v>1899</v>
      </c>
      <c r="D281" s="42" t="s">
        <v>1900</v>
      </c>
      <c r="E281" s="42" t="s">
        <v>1901</v>
      </c>
      <c r="F281" s="42">
        <v>30213</v>
      </c>
      <c r="G281" s="42">
        <v>1</v>
      </c>
      <c r="H281" s="43"/>
      <c r="I281" s="43">
        <f t="shared" si="7"/>
        <v>0</v>
      </c>
      <c r="J281" s="42" t="s">
        <v>14</v>
      </c>
      <c r="K281" s="44">
        <v>1</v>
      </c>
    </row>
    <row r="282" spans="1:11" ht="20.100000000000001" customHeight="1">
      <c r="A282" s="41">
        <v>276</v>
      </c>
      <c r="B282" s="42" t="s">
        <v>1902</v>
      </c>
      <c r="C282" s="42" t="s">
        <v>1903</v>
      </c>
      <c r="D282" s="42" t="s">
        <v>1900</v>
      </c>
      <c r="E282" s="42" t="s">
        <v>1901</v>
      </c>
      <c r="F282" s="42" t="s">
        <v>1904</v>
      </c>
      <c r="G282" s="42">
        <v>3</v>
      </c>
      <c r="H282" s="43"/>
      <c r="I282" s="43">
        <f t="shared" si="7"/>
        <v>0</v>
      </c>
      <c r="J282" s="42" t="s">
        <v>14</v>
      </c>
      <c r="K282" s="44">
        <v>3</v>
      </c>
    </row>
    <row r="283" spans="1:11" ht="20.100000000000001" customHeight="1">
      <c r="A283" s="37">
        <v>277</v>
      </c>
      <c r="B283" s="42" t="s">
        <v>1905</v>
      </c>
      <c r="C283" s="42" t="s">
        <v>1906</v>
      </c>
      <c r="D283" s="42" t="s">
        <v>1900</v>
      </c>
      <c r="E283" s="42" t="s">
        <v>1901</v>
      </c>
      <c r="F283" s="42" t="s">
        <v>1907</v>
      </c>
      <c r="G283" s="42">
        <v>3</v>
      </c>
      <c r="H283" s="43"/>
      <c r="I283" s="43">
        <f t="shared" si="7"/>
        <v>0</v>
      </c>
      <c r="J283" s="42" t="s">
        <v>14</v>
      </c>
      <c r="K283" s="44">
        <v>3</v>
      </c>
    </row>
    <row r="284" spans="1:11" ht="20.100000000000001" customHeight="1">
      <c r="A284" s="41">
        <v>278</v>
      </c>
      <c r="B284" s="42" t="s">
        <v>1908</v>
      </c>
      <c r="C284" s="50">
        <v>40082373</v>
      </c>
      <c r="D284" s="42" t="s">
        <v>1779</v>
      </c>
      <c r="E284" s="42" t="s">
        <v>1780</v>
      </c>
      <c r="F284" s="42" t="s">
        <v>1781</v>
      </c>
      <c r="G284" s="42">
        <v>900</v>
      </c>
      <c r="H284" s="43" t="e">
        <f>VLOOKUP(C284,[1]Sheet4!$B$2:$H$344,7,FALSE)</f>
        <v>#N/A</v>
      </c>
      <c r="I284" s="43" t="e">
        <f t="shared" si="7"/>
        <v>#N/A</v>
      </c>
      <c r="J284" s="42" t="s">
        <v>14</v>
      </c>
      <c r="K284" s="44">
        <v>900</v>
      </c>
    </row>
    <row r="285" spans="1:11" ht="20.100000000000001" customHeight="1">
      <c r="A285" s="37">
        <v>279</v>
      </c>
      <c r="B285" s="42" t="s">
        <v>1909</v>
      </c>
      <c r="C285" s="42">
        <v>130600070</v>
      </c>
      <c r="D285" s="45" t="s">
        <v>1910</v>
      </c>
      <c r="E285" s="42"/>
      <c r="F285" s="46"/>
      <c r="G285" s="42">
        <v>10</v>
      </c>
      <c r="H285" s="43">
        <f>VLOOKUP(C285,[1]Sheet4!$B$2:$H$344,7,FALSE)</f>
        <v>10.44</v>
      </c>
      <c r="I285" s="43">
        <f t="shared" si="7"/>
        <v>104.39999999999999</v>
      </c>
      <c r="J285" s="45" t="s">
        <v>14</v>
      </c>
      <c r="K285" s="44">
        <v>10</v>
      </c>
    </row>
    <row r="286" spans="1:11" ht="20.100000000000001" customHeight="1">
      <c r="A286" s="41">
        <v>280</v>
      </c>
      <c r="B286" s="42" t="s">
        <v>1909</v>
      </c>
      <c r="C286" s="45">
        <v>130600062</v>
      </c>
      <c r="D286" s="45" t="s">
        <v>1911</v>
      </c>
      <c r="E286" s="42"/>
      <c r="F286" s="46"/>
      <c r="G286" s="42">
        <v>8</v>
      </c>
      <c r="H286" s="43">
        <f>VLOOKUP(C286,[1]Sheet4!$B$2:$H$344,7,FALSE)</f>
        <v>1.31</v>
      </c>
      <c r="I286" s="43">
        <f t="shared" si="7"/>
        <v>10.48</v>
      </c>
      <c r="J286" s="45" t="s">
        <v>14</v>
      </c>
      <c r="K286" s="44">
        <v>8</v>
      </c>
    </row>
    <row r="287" spans="1:11" ht="20.100000000000001" customHeight="1">
      <c r="A287" s="37">
        <v>281</v>
      </c>
      <c r="B287" s="42" t="s">
        <v>1912</v>
      </c>
      <c r="C287" s="42">
        <v>40694785</v>
      </c>
      <c r="D287" s="42" t="s">
        <v>1913</v>
      </c>
      <c r="E287" s="42" t="s">
        <v>1914</v>
      </c>
      <c r="F287" s="42"/>
      <c r="G287" s="42">
        <v>2</v>
      </c>
      <c r="H287" s="43">
        <v>389.55</v>
      </c>
      <c r="I287" s="43">
        <f t="shared" si="7"/>
        <v>779.1</v>
      </c>
      <c r="J287" s="42" t="s">
        <v>14</v>
      </c>
      <c r="K287" s="44">
        <v>2</v>
      </c>
    </row>
    <row r="288" spans="1:11" ht="20.100000000000001" customHeight="1">
      <c r="A288" s="41">
        <v>282</v>
      </c>
      <c r="B288" s="42" t="s">
        <v>1915</v>
      </c>
      <c r="C288" s="42">
        <v>40694903</v>
      </c>
      <c r="D288" s="42" t="s">
        <v>1916</v>
      </c>
      <c r="E288" s="42" t="s">
        <v>1917</v>
      </c>
      <c r="F288" s="42"/>
      <c r="G288" s="42">
        <v>2</v>
      </c>
      <c r="H288" s="43">
        <v>109.5</v>
      </c>
      <c r="I288" s="43">
        <f t="shared" si="7"/>
        <v>219</v>
      </c>
      <c r="J288" s="42" t="s">
        <v>14</v>
      </c>
      <c r="K288" s="44">
        <v>2</v>
      </c>
    </row>
    <row r="289" spans="1:11" ht="20.100000000000001" customHeight="1">
      <c r="A289" s="37">
        <v>283</v>
      </c>
      <c r="B289" s="42" t="s">
        <v>1918</v>
      </c>
      <c r="C289" s="42">
        <v>40722338</v>
      </c>
      <c r="D289" s="42" t="s">
        <v>1919</v>
      </c>
      <c r="E289" s="42" t="s">
        <v>1920</v>
      </c>
      <c r="F289" s="42"/>
      <c r="G289" s="42">
        <v>2</v>
      </c>
      <c r="H289" s="43">
        <v>8083.81</v>
      </c>
      <c r="I289" s="43">
        <f t="shared" si="7"/>
        <v>16167.62</v>
      </c>
      <c r="J289" s="42" t="s">
        <v>14</v>
      </c>
      <c r="K289" s="44">
        <v>2</v>
      </c>
    </row>
    <row r="290" spans="1:11" ht="20.100000000000001" customHeight="1">
      <c r="A290" s="41">
        <v>284</v>
      </c>
      <c r="B290" s="42" t="s">
        <v>1921</v>
      </c>
      <c r="C290" s="42">
        <v>40697082</v>
      </c>
      <c r="D290" s="42" t="s">
        <v>894</v>
      </c>
      <c r="E290" s="42" t="s">
        <v>1922</v>
      </c>
      <c r="F290" s="42"/>
      <c r="G290" s="42">
        <v>1</v>
      </c>
      <c r="H290" s="43">
        <v>64.459999999999994</v>
      </c>
      <c r="I290" s="43">
        <f t="shared" si="7"/>
        <v>64.459999999999994</v>
      </c>
      <c r="J290" s="42" t="s">
        <v>14</v>
      </c>
      <c r="K290" s="44">
        <v>1</v>
      </c>
    </row>
    <row r="291" spans="1:11" ht="20.100000000000001" customHeight="1">
      <c r="A291" s="37">
        <v>285</v>
      </c>
      <c r="B291" s="42" t="s">
        <v>1923</v>
      </c>
      <c r="C291" s="42">
        <v>40779816</v>
      </c>
      <c r="D291" s="42" t="s">
        <v>1924</v>
      </c>
      <c r="E291" s="42" t="s">
        <v>1925</v>
      </c>
      <c r="F291" s="42" t="s">
        <v>1926</v>
      </c>
      <c r="G291" s="42">
        <v>15</v>
      </c>
      <c r="H291" s="43">
        <v>25.21</v>
      </c>
      <c r="I291" s="43">
        <f t="shared" si="7"/>
        <v>378.15000000000003</v>
      </c>
      <c r="J291" s="42" t="s">
        <v>14</v>
      </c>
      <c r="K291" s="44">
        <v>15</v>
      </c>
    </row>
    <row r="292" spans="1:11" ht="20.100000000000001" customHeight="1">
      <c r="A292" s="41">
        <v>286</v>
      </c>
      <c r="B292" s="42" t="s">
        <v>1927</v>
      </c>
      <c r="C292" s="42">
        <v>40779815</v>
      </c>
      <c r="D292" s="42" t="s">
        <v>1928</v>
      </c>
      <c r="E292" s="42" t="s">
        <v>1929</v>
      </c>
      <c r="F292" s="42" t="s">
        <v>1930</v>
      </c>
      <c r="G292" s="42">
        <v>5</v>
      </c>
      <c r="H292" s="43">
        <v>25.21</v>
      </c>
      <c r="I292" s="43">
        <f t="shared" si="7"/>
        <v>126.05000000000001</v>
      </c>
      <c r="J292" s="42" t="s">
        <v>14</v>
      </c>
      <c r="K292" s="44">
        <v>5</v>
      </c>
    </row>
    <row r="293" spans="1:11" ht="20.100000000000001" customHeight="1">
      <c r="A293" s="37">
        <v>287</v>
      </c>
      <c r="B293" s="42" t="s">
        <v>1931</v>
      </c>
      <c r="C293" s="42">
        <v>40713959</v>
      </c>
      <c r="D293" s="42" t="s">
        <v>1932</v>
      </c>
      <c r="E293" s="42" t="s">
        <v>1933</v>
      </c>
      <c r="F293" s="42"/>
      <c r="G293" s="42">
        <v>32</v>
      </c>
      <c r="H293" s="43">
        <v>10.49</v>
      </c>
      <c r="I293" s="43">
        <f t="shared" si="7"/>
        <v>335.68</v>
      </c>
      <c r="J293" s="42" t="s">
        <v>14</v>
      </c>
      <c r="K293" s="44">
        <v>30</v>
      </c>
    </row>
    <row r="294" spans="1:11" ht="20.100000000000001" customHeight="1">
      <c r="A294" s="41">
        <v>288</v>
      </c>
      <c r="B294" s="42" t="s">
        <v>1934</v>
      </c>
      <c r="C294" s="42">
        <v>40653698</v>
      </c>
      <c r="D294" s="42" t="s">
        <v>1935</v>
      </c>
      <c r="E294" s="42" t="s">
        <v>1936</v>
      </c>
      <c r="F294" s="42"/>
      <c r="G294" s="42">
        <v>300</v>
      </c>
      <c r="H294" s="43">
        <v>0.09</v>
      </c>
      <c r="I294" s="43">
        <f t="shared" si="7"/>
        <v>27</v>
      </c>
      <c r="J294" s="42" t="s">
        <v>14</v>
      </c>
      <c r="K294" s="44">
        <v>300</v>
      </c>
    </row>
    <row r="295" spans="1:11" ht="20.100000000000001" customHeight="1">
      <c r="A295" s="37">
        <v>289</v>
      </c>
      <c r="B295" s="42" t="s">
        <v>1937</v>
      </c>
      <c r="C295" s="42">
        <v>40678790</v>
      </c>
      <c r="D295" s="45" t="s">
        <v>1938</v>
      </c>
      <c r="E295" s="42"/>
      <c r="F295" s="46"/>
      <c r="G295" s="42">
        <v>3</v>
      </c>
      <c r="H295" s="43">
        <f>VLOOKUP(C295,[1]Sheet4!$B$2:$H$344,7,FALSE)</f>
        <v>332.22</v>
      </c>
      <c r="I295" s="43">
        <f t="shared" si="7"/>
        <v>996.66000000000008</v>
      </c>
      <c r="J295" s="45" t="s">
        <v>14</v>
      </c>
      <c r="K295" s="44">
        <v>3</v>
      </c>
    </row>
    <row r="296" spans="1:11" ht="20.100000000000001" customHeight="1">
      <c r="A296" s="41">
        <v>290</v>
      </c>
      <c r="B296" s="42" t="s">
        <v>1939</v>
      </c>
      <c r="C296" s="42">
        <v>40786141</v>
      </c>
      <c r="D296" s="42" t="s">
        <v>1940</v>
      </c>
      <c r="E296" s="42" t="s">
        <v>943</v>
      </c>
      <c r="F296" s="42" t="s">
        <v>1941</v>
      </c>
      <c r="G296" s="42">
        <v>18</v>
      </c>
      <c r="H296" s="43">
        <v>136.72</v>
      </c>
      <c r="I296" s="43">
        <f t="shared" si="7"/>
        <v>2460.96</v>
      </c>
      <c r="J296" s="42" t="s">
        <v>14</v>
      </c>
      <c r="K296" s="44">
        <v>18</v>
      </c>
    </row>
    <row r="297" spans="1:11" ht="20.100000000000001" customHeight="1">
      <c r="A297" s="37">
        <v>291</v>
      </c>
      <c r="B297" s="42" t="s">
        <v>1942</v>
      </c>
      <c r="C297" s="45" t="s">
        <v>1943</v>
      </c>
      <c r="D297" s="45" t="s">
        <v>1944</v>
      </c>
      <c r="E297" s="42"/>
      <c r="F297" s="46"/>
      <c r="G297" s="42">
        <v>16</v>
      </c>
      <c r="H297" s="43"/>
      <c r="I297" s="43">
        <f t="shared" si="7"/>
        <v>0</v>
      </c>
      <c r="J297" s="45" t="s">
        <v>14</v>
      </c>
      <c r="K297" s="44">
        <v>16</v>
      </c>
    </row>
    <row r="298" spans="1:11" ht="20.100000000000001" customHeight="1">
      <c r="A298" s="41">
        <v>292</v>
      </c>
      <c r="B298" s="42" t="s">
        <v>1945</v>
      </c>
      <c r="C298" s="42">
        <v>40702867</v>
      </c>
      <c r="D298" s="45" t="s">
        <v>1946</v>
      </c>
      <c r="E298" s="42"/>
      <c r="F298" s="46"/>
      <c r="G298" s="42">
        <v>4</v>
      </c>
      <c r="H298" s="43">
        <f>VLOOKUP(C298,[1]Sheet4!$B$2:$H$344,7,FALSE)</f>
        <v>210.13</v>
      </c>
      <c r="I298" s="43">
        <f t="shared" si="7"/>
        <v>840.52</v>
      </c>
      <c r="J298" s="45" t="s">
        <v>14</v>
      </c>
      <c r="K298" s="44">
        <v>4</v>
      </c>
    </row>
    <row r="299" spans="1:11" ht="20.100000000000001" customHeight="1">
      <c r="A299" s="37">
        <v>293</v>
      </c>
      <c r="B299" s="42" t="s">
        <v>1947</v>
      </c>
      <c r="C299" s="42" t="s">
        <v>1948</v>
      </c>
      <c r="D299" s="42" t="s">
        <v>1949</v>
      </c>
      <c r="E299" s="42" t="s">
        <v>1950</v>
      </c>
      <c r="F299" s="42" t="s">
        <v>1951</v>
      </c>
      <c r="G299" s="42">
        <v>71</v>
      </c>
      <c r="H299" s="43"/>
      <c r="I299" s="43">
        <f t="shared" si="7"/>
        <v>0</v>
      </c>
      <c r="J299" s="42" t="s">
        <v>14</v>
      </c>
      <c r="K299" s="44">
        <v>71</v>
      </c>
    </row>
    <row r="300" spans="1:11" ht="20.100000000000001" customHeight="1">
      <c r="A300" s="41">
        <v>294</v>
      </c>
      <c r="B300" s="42" t="s">
        <v>1952</v>
      </c>
      <c r="C300" s="42" t="s">
        <v>1953</v>
      </c>
      <c r="D300" s="42" t="s">
        <v>1949</v>
      </c>
      <c r="E300" s="42" t="s">
        <v>1950</v>
      </c>
      <c r="F300" s="42" t="s">
        <v>1954</v>
      </c>
      <c r="G300" s="42">
        <v>1</v>
      </c>
      <c r="H300" s="43"/>
      <c r="I300" s="43">
        <f t="shared" si="7"/>
        <v>0</v>
      </c>
      <c r="J300" s="42" t="s">
        <v>14</v>
      </c>
      <c r="K300" s="44">
        <v>1</v>
      </c>
    </row>
    <row r="301" spans="1:11" ht="20.100000000000001" customHeight="1">
      <c r="A301" s="37">
        <v>295</v>
      </c>
      <c r="B301" s="42" t="s">
        <v>1952</v>
      </c>
      <c r="C301" s="45" t="s">
        <v>1955</v>
      </c>
      <c r="D301" s="45" t="s">
        <v>1953</v>
      </c>
      <c r="E301" s="42"/>
      <c r="F301" s="46"/>
      <c r="G301" s="42">
        <v>1</v>
      </c>
      <c r="H301" s="47"/>
      <c r="I301" s="47"/>
      <c r="J301" s="45" t="s">
        <v>14</v>
      </c>
      <c r="K301" s="44">
        <v>1</v>
      </c>
    </row>
    <row r="302" spans="1:11" ht="20.100000000000001" customHeight="1">
      <c r="A302" s="41">
        <v>296</v>
      </c>
      <c r="B302" s="42" t="s">
        <v>1956</v>
      </c>
      <c r="C302" s="42" t="s">
        <v>1953</v>
      </c>
      <c r="D302" s="42" t="s">
        <v>1949</v>
      </c>
      <c r="E302" s="42" t="s">
        <v>1950</v>
      </c>
      <c r="F302" s="42" t="s">
        <v>1957</v>
      </c>
      <c r="G302" s="42">
        <v>2</v>
      </c>
      <c r="H302" s="43"/>
      <c r="I302" s="43">
        <f t="shared" ref="I302:I366" si="8">H302*G302</f>
        <v>0</v>
      </c>
      <c r="J302" s="42" t="s">
        <v>14</v>
      </c>
      <c r="K302" s="44">
        <v>2</v>
      </c>
    </row>
    <row r="303" spans="1:11" ht="20.100000000000001" customHeight="1">
      <c r="A303" s="37">
        <v>297</v>
      </c>
      <c r="B303" s="42" t="s">
        <v>1956</v>
      </c>
      <c r="C303" s="45" t="s">
        <v>1958</v>
      </c>
      <c r="D303" s="45" t="s">
        <v>1953</v>
      </c>
      <c r="E303" s="42"/>
      <c r="F303" s="46"/>
      <c r="G303" s="42">
        <v>2</v>
      </c>
      <c r="H303" s="47"/>
      <c r="I303" s="47"/>
      <c r="J303" s="45" t="s">
        <v>14</v>
      </c>
      <c r="K303" s="44">
        <v>2</v>
      </c>
    </row>
    <row r="304" spans="1:11" ht="20.100000000000001" customHeight="1">
      <c r="A304" s="41">
        <v>298</v>
      </c>
      <c r="B304" s="42" t="s">
        <v>1959</v>
      </c>
      <c r="C304" s="42" t="s">
        <v>1960</v>
      </c>
      <c r="D304" s="42" t="s">
        <v>1949</v>
      </c>
      <c r="E304" s="42" t="s">
        <v>1950</v>
      </c>
      <c r="F304" s="42" t="s">
        <v>1961</v>
      </c>
      <c r="G304" s="42">
        <v>4</v>
      </c>
      <c r="H304" s="43"/>
      <c r="I304" s="43">
        <f t="shared" si="8"/>
        <v>0</v>
      </c>
      <c r="J304" s="42" t="s">
        <v>14</v>
      </c>
      <c r="K304" s="44">
        <v>4</v>
      </c>
    </row>
    <row r="305" spans="1:11" ht="20.100000000000001" customHeight="1">
      <c r="A305" s="37">
        <v>299</v>
      </c>
      <c r="B305" s="42" t="s">
        <v>1962</v>
      </c>
      <c r="C305" s="42" t="s">
        <v>1963</v>
      </c>
      <c r="D305" s="42" t="s">
        <v>1949</v>
      </c>
      <c r="E305" s="42" t="s">
        <v>1950</v>
      </c>
      <c r="F305" s="42" t="s">
        <v>1964</v>
      </c>
      <c r="G305" s="42">
        <v>50</v>
      </c>
      <c r="H305" s="43"/>
      <c r="I305" s="43">
        <f t="shared" si="8"/>
        <v>0</v>
      </c>
      <c r="J305" s="42" t="s">
        <v>14</v>
      </c>
      <c r="K305" s="44">
        <v>50</v>
      </c>
    </row>
    <row r="306" spans="1:11" ht="20.100000000000001" customHeight="1">
      <c r="A306" s="41">
        <v>300</v>
      </c>
      <c r="B306" s="42" t="s">
        <v>1965</v>
      </c>
      <c r="C306" s="42">
        <v>40768996</v>
      </c>
      <c r="D306" s="42" t="s">
        <v>1966</v>
      </c>
      <c r="E306" s="42" t="s">
        <v>1950</v>
      </c>
      <c r="F306" s="42" t="s">
        <v>1967</v>
      </c>
      <c r="G306" s="42">
        <v>1</v>
      </c>
      <c r="H306" s="43"/>
      <c r="I306" s="43">
        <f t="shared" si="8"/>
        <v>0</v>
      </c>
      <c r="J306" s="42" t="s">
        <v>14</v>
      </c>
      <c r="K306" s="44">
        <v>1</v>
      </c>
    </row>
    <row r="307" spans="1:11" ht="20.100000000000001" customHeight="1">
      <c r="A307" s="37">
        <v>301</v>
      </c>
      <c r="B307" s="42" t="s">
        <v>1968</v>
      </c>
      <c r="C307" s="42" t="s">
        <v>1969</v>
      </c>
      <c r="D307" s="42" t="s">
        <v>1949</v>
      </c>
      <c r="E307" s="42" t="s">
        <v>1950</v>
      </c>
      <c r="F307" s="42" t="s">
        <v>1970</v>
      </c>
      <c r="G307" s="42">
        <v>20</v>
      </c>
      <c r="H307" s="43"/>
      <c r="I307" s="43">
        <f t="shared" si="8"/>
        <v>0</v>
      </c>
      <c r="J307" s="42" t="s">
        <v>14</v>
      </c>
      <c r="K307" s="44">
        <v>20</v>
      </c>
    </row>
    <row r="308" spans="1:11" ht="20.100000000000001" customHeight="1">
      <c r="A308" s="41">
        <v>302</v>
      </c>
      <c r="B308" s="42" t="s">
        <v>1971</v>
      </c>
      <c r="C308" s="42" t="s">
        <v>1972</v>
      </c>
      <c r="D308" s="42" t="s">
        <v>1949</v>
      </c>
      <c r="E308" s="42" t="s">
        <v>1950</v>
      </c>
      <c r="F308" s="42" t="s">
        <v>1973</v>
      </c>
      <c r="G308" s="42">
        <v>8</v>
      </c>
      <c r="H308" s="43"/>
      <c r="I308" s="43">
        <f t="shared" si="8"/>
        <v>0</v>
      </c>
      <c r="J308" s="42" t="s">
        <v>14</v>
      </c>
      <c r="K308" s="44">
        <v>8</v>
      </c>
    </row>
    <row r="309" spans="1:11" ht="20.100000000000001" customHeight="1">
      <c r="A309" s="37">
        <v>303</v>
      </c>
      <c r="B309" s="42" t="s">
        <v>1974</v>
      </c>
      <c r="C309" s="42" t="s">
        <v>1975</v>
      </c>
      <c r="D309" s="42" t="s">
        <v>1949</v>
      </c>
      <c r="E309" s="42" t="s">
        <v>1950</v>
      </c>
      <c r="F309" s="42" t="s">
        <v>1976</v>
      </c>
      <c r="G309" s="42">
        <v>7</v>
      </c>
      <c r="H309" s="43"/>
      <c r="I309" s="43">
        <f t="shared" si="8"/>
        <v>0</v>
      </c>
      <c r="J309" s="42" t="s">
        <v>14</v>
      </c>
      <c r="K309" s="44">
        <v>7</v>
      </c>
    </row>
    <row r="310" spans="1:11" ht="20.100000000000001" customHeight="1">
      <c r="A310" s="41">
        <v>304</v>
      </c>
      <c r="B310" s="42" t="s">
        <v>1977</v>
      </c>
      <c r="C310" s="42"/>
      <c r="D310" s="42" t="s">
        <v>1949</v>
      </c>
      <c r="E310" s="42" t="s">
        <v>1950</v>
      </c>
      <c r="F310" s="42" t="s">
        <v>1978</v>
      </c>
      <c r="G310" s="42">
        <v>11</v>
      </c>
      <c r="H310" s="43"/>
      <c r="I310" s="43">
        <f t="shared" si="8"/>
        <v>0</v>
      </c>
      <c r="J310" s="42" t="s">
        <v>14</v>
      </c>
      <c r="K310" s="44">
        <v>0</v>
      </c>
    </row>
    <row r="311" spans="1:11" ht="20.100000000000001" customHeight="1">
      <c r="A311" s="37">
        <v>305</v>
      </c>
      <c r="B311" s="42" t="s">
        <v>1979</v>
      </c>
      <c r="C311" s="42" t="s">
        <v>1980</v>
      </c>
      <c r="D311" s="42" t="s">
        <v>1949</v>
      </c>
      <c r="E311" s="42" t="s">
        <v>1950</v>
      </c>
      <c r="F311" s="42" t="s">
        <v>1961</v>
      </c>
      <c r="G311" s="42">
        <v>4</v>
      </c>
      <c r="H311" s="43"/>
      <c r="I311" s="43">
        <f t="shared" si="8"/>
        <v>0</v>
      </c>
      <c r="J311" s="42" t="s">
        <v>14</v>
      </c>
      <c r="K311" s="44">
        <v>4</v>
      </c>
    </row>
    <row r="312" spans="1:11" ht="20.100000000000001" customHeight="1">
      <c r="A312" s="41">
        <v>306</v>
      </c>
      <c r="B312" s="42" t="s">
        <v>1981</v>
      </c>
      <c r="C312" s="42">
        <v>40676439</v>
      </c>
      <c r="D312" s="42" t="s">
        <v>1982</v>
      </c>
      <c r="E312" s="42" t="s">
        <v>1983</v>
      </c>
      <c r="F312" s="42" t="s">
        <v>1984</v>
      </c>
      <c r="G312" s="42">
        <v>10</v>
      </c>
      <c r="H312" s="43">
        <v>25.33</v>
      </c>
      <c r="I312" s="43">
        <f t="shared" si="8"/>
        <v>253.29999999999998</v>
      </c>
      <c r="J312" s="42" t="s">
        <v>14</v>
      </c>
      <c r="K312" s="44">
        <v>10</v>
      </c>
    </row>
    <row r="313" spans="1:11" ht="20.100000000000001" customHeight="1">
      <c r="A313" s="37">
        <v>307</v>
      </c>
      <c r="B313" s="42" t="s">
        <v>1985</v>
      </c>
      <c r="C313" s="42" t="s">
        <v>1986</v>
      </c>
      <c r="D313" s="42" t="s">
        <v>1987</v>
      </c>
      <c r="E313" s="42" t="s">
        <v>1988</v>
      </c>
      <c r="F313" s="42" t="s">
        <v>1989</v>
      </c>
      <c r="G313" s="42">
        <v>40</v>
      </c>
      <c r="H313" s="43"/>
      <c r="I313" s="43">
        <f t="shared" si="8"/>
        <v>0</v>
      </c>
      <c r="J313" s="42" t="s">
        <v>14</v>
      </c>
      <c r="K313" s="44">
        <v>40</v>
      </c>
    </row>
    <row r="314" spans="1:11" ht="20.100000000000001" customHeight="1">
      <c r="A314" s="41">
        <v>308</v>
      </c>
      <c r="B314" s="42" t="s">
        <v>1990</v>
      </c>
      <c r="C314" s="42" t="s">
        <v>1991</v>
      </c>
      <c r="D314" s="42" t="s">
        <v>1992</v>
      </c>
      <c r="E314" s="42" t="s">
        <v>1993</v>
      </c>
      <c r="F314" s="42" t="s">
        <v>1994</v>
      </c>
      <c r="G314" s="42">
        <v>23</v>
      </c>
      <c r="H314" s="43"/>
      <c r="I314" s="43">
        <f t="shared" si="8"/>
        <v>0</v>
      </c>
      <c r="J314" s="42" t="s">
        <v>14</v>
      </c>
      <c r="K314" s="44">
        <v>23</v>
      </c>
    </row>
    <row r="315" spans="1:11" ht="20.100000000000001" customHeight="1">
      <c r="A315" s="37">
        <v>309</v>
      </c>
      <c r="B315" s="42" t="s">
        <v>1995</v>
      </c>
      <c r="C315" s="42">
        <v>40721999</v>
      </c>
      <c r="D315" s="42" t="s">
        <v>1996</v>
      </c>
      <c r="E315" s="42" t="s">
        <v>1997</v>
      </c>
      <c r="F315" s="42"/>
      <c r="G315" s="42">
        <v>2</v>
      </c>
      <c r="H315" s="43">
        <v>16.52</v>
      </c>
      <c r="I315" s="43">
        <f t="shared" si="8"/>
        <v>33.04</v>
      </c>
      <c r="J315" s="42" t="s">
        <v>14</v>
      </c>
      <c r="K315" s="44">
        <v>2</v>
      </c>
    </row>
    <row r="316" spans="1:11" ht="20.100000000000001" customHeight="1">
      <c r="A316" s="41">
        <v>310</v>
      </c>
      <c r="B316" s="42" t="s">
        <v>1998</v>
      </c>
      <c r="C316" s="42" t="s">
        <v>1999</v>
      </c>
      <c r="D316" s="42" t="s">
        <v>2000</v>
      </c>
      <c r="E316" s="42" t="s">
        <v>2001</v>
      </c>
      <c r="F316" s="42" t="s">
        <v>2002</v>
      </c>
      <c r="G316" s="42">
        <v>1</v>
      </c>
      <c r="H316" s="43"/>
      <c r="I316" s="43">
        <f t="shared" si="8"/>
        <v>0</v>
      </c>
      <c r="J316" s="42" t="s">
        <v>14</v>
      </c>
      <c r="K316" s="44">
        <v>1</v>
      </c>
    </row>
    <row r="317" spans="1:11" ht="20.100000000000001" customHeight="1">
      <c r="A317" s="37">
        <v>311</v>
      </c>
      <c r="B317" s="42" t="s">
        <v>2003</v>
      </c>
      <c r="C317" s="42">
        <v>40779817</v>
      </c>
      <c r="D317" s="42" t="s">
        <v>2004</v>
      </c>
      <c r="E317" s="42" t="s">
        <v>2005</v>
      </c>
      <c r="F317" s="42" t="s">
        <v>1930</v>
      </c>
      <c r="G317" s="42">
        <v>5</v>
      </c>
      <c r="H317" s="43">
        <v>25.21</v>
      </c>
      <c r="I317" s="43">
        <f t="shared" si="8"/>
        <v>126.05000000000001</v>
      </c>
      <c r="J317" s="42" t="s">
        <v>14</v>
      </c>
      <c r="K317" s="44">
        <v>5</v>
      </c>
    </row>
    <row r="318" spans="1:11" ht="20.100000000000001" customHeight="1">
      <c r="A318" s="41">
        <v>312</v>
      </c>
      <c r="B318" s="42" t="s">
        <v>2006</v>
      </c>
      <c r="C318" s="42">
        <v>40779816</v>
      </c>
      <c r="D318" s="42" t="s">
        <v>1924</v>
      </c>
      <c r="E318" s="42" t="s">
        <v>1925</v>
      </c>
      <c r="F318" s="42" t="s">
        <v>1930</v>
      </c>
      <c r="G318" s="42">
        <v>5</v>
      </c>
      <c r="H318" s="43">
        <v>25.21</v>
      </c>
      <c r="I318" s="43">
        <f t="shared" si="8"/>
        <v>126.05000000000001</v>
      </c>
      <c r="J318" s="42" t="s">
        <v>14</v>
      </c>
      <c r="K318" s="44">
        <v>5</v>
      </c>
    </row>
    <row r="319" spans="1:11" ht="20.100000000000001" customHeight="1">
      <c r="A319" s="37">
        <v>313</v>
      </c>
      <c r="B319" s="42" t="s">
        <v>2007</v>
      </c>
      <c r="C319" s="45">
        <v>40750427</v>
      </c>
      <c r="D319" s="45" t="s">
        <v>2008</v>
      </c>
      <c r="E319" s="42"/>
      <c r="F319" s="46"/>
      <c r="G319" s="42">
        <v>199</v>
      </c>
      <c r="H319" s="43">
        <f>VLOOKUP(C319,[1]Sheet4!$B$2:$H$344,7,FALSE)</f>
        <v>30.04</v>
      </c>
      <c r="I319" s="43">
        <f t="shared" si="8"/>
        <v>5977.96</v>
      </c>
      <c r="J319" s="45" t="s">
        <v>14</v>
      </c>
      <c r="K319" s="44">
        <v>199</v>
      </c>
    </row>
    <row r="320" spans="1:11" ht="20.100000000000001" customHeight="1">
      <c r="A320" s="41">
        <v>314</v>
      </c>
      <c r="B320" s="42" t="s">
        <v>2009</v>
      </c>
      <c r="C320" s="45">
        <v>40750404</v>
      </c>
      <c r="D320" s="45" t="s">
        <v>2010</v>
      </c>
      <c r="E320" s="42"/>
      <c r="F320" s="46"/>
      <c r="G320" s="42">
        <v>10</v>
      </c>
      <c r="H320" s="43">
        <f>VLOOKUP(C320,[1]Sheet4!$B$2:$H$344,7,FALSE)</f>
        <v>289.23</v>
      </c>
      <c r="I320" s="43">
        <f t="shared" si="8"/>
        <v>2892.3</v>
      </c>
      <c r="J320" s="45" t="s">
        <v>14</v>
      </c>
      <c r="K320" s="44">
        <v>10</v>
      </c>
    </row>
    <row r="321" spans="1:11" ht="20.100000000000001" customHeight="1">
      <c r="A321" s="37">
        <v>315</v>
      </c>
      <c r="B321" s="42" t="s">
        <v>2011</v>
      </c>
      <c r="C321" s="45">
        <v>40750428</v>
      </c>
      <c r="D321" s="45" t="s">
        <v>2012</v>
      </c>
      <c r="E321" s="42"/>
      <c r="F321" s="46"/>
      <c r="G321" s="42">
        <v>50</v>
      </c>
      <c r="H321" s="43">
        <f>VLOOKUP(C321,[1]Sheet4!$B$2:$H$344,7,FALSE)</f>
        <v>30.04</v>
      </c>
      <c r="I321" s="43">
        <f t="shared" si="8"/>
        <v>1502</v>
      </c>
      <c r="J321" s="45" t="s">
        <v>14</v>
      </c>
      <c r="K321" s="44">
        <v>50</v>
      </c>
    </row>
    <row r="322" spans="1:11" ht="20.100000000000001" customHeight="1">
      <c r="A322" s="41">
        <v>316</v>
      </c>
      <c r="B322" s="42" t="s">
        <v>2013</v>
      </c>
      <c r="C322" s="45">
        <v>40750402</v>
      </c>
      <c r="D322" s="45" t="s">
        <v>2014</v>
      </c>
      <c r="E322" s="42"/>
      <c r="F322" s="46"/>
      <c r="G322" s="42">
        <v>10</v>
      </c>
      <c r="H322" s="43">
        <f>VLOOKUP(C322,[1]Sheet4!$B$2:$H$344,7,FALSE)</f>
        <v>244.73</v>
      </c>
      <c r="I322" s="43">
        <f t="shared" si="8"/>
        <v>2447.2999999999997</v>
      </c>
      <c r="J322" s="45" t="s">
        <v>14</v>
      </c>
      <c r="K322" s="44">
        <v>10</v>
      </c>
    </row>
    <row r="323" spans="1:11" ht="20.100000000000001" customHeight="1">
      <c r="A323" s="37">
        <v>317</v>
      </c>
      <c r="B323" s="42" t="s">
        <v>2015</v>
      </c>
      <c r="C323" s="45">
        <v>40750403</v>
      </c>
      <c r="D323" s="45" t="s">
        <v>2016</v>
      </c>
      <c r="E323" s="42"/>
      <c r="F323" s="46"/>
      <c r="G323" s="42">
        <v>10</v>
      </c>
      <c r="H323" s="43">
        <f>VLOOKUP(C323,[1]Sheet4!$B$2:$H$344,7,FALSE)</f>
        <v>255.86</v>
      </c>
      <c r="I323" s="43">
        <f t="shared" si="8"/>
        <v>2558.6000000000004</v>
      </c>
      <c r="J323" s="45" t="s">
        <v>14</v>
      </c>
      <c r="K323" s="44">
        <v>10</v>
      </c>
    </row>
    <row r="324" spans="1:11" ht="20.100000000000001" customHeight="1">
      <c r="A324" s="41">
        <v>318</v>
      </c>
      <c r="B324" s="42" t="s">
        <v>2017</v>
      </c>
      <c r="C324" s="42">
        <v>40131323</v>
      </c>
      <c r="D324" s="42" t="s">
        <v>2018</v>
      </c>
      <c r="E324" s="42" t="s">
        <v>2019</v>
      </c>
      <c r="F324" s="42"/>
      <c r="G324" s="42">
        <v>380</v>
      </c>
      <c r="H324" s="43">
        <f>VLOOKUP(C324,[1]Sheet4!$B$2:$H$344,7,FALSE)</f>
        <v>179.29</v>
      </c>
      <c r="I324" s="43">
        <f t="shared" si="8"/>
        <v>68130.2</v>
      </c>
      <c r="J324" s="42" t="s">
        <v>14</v>
      </c>
      <c r="K324" s="44">
        <v>366</v>
      </c>
    </row>
    <row r="325" spans="1:11" ht="20.100000000000001" customHeight="1">
      <c r="A325" s="37">
        <v>319</v>
      </c>
      <c r="B325" s="42" t="s">
        <v>2020</v>
      </c>
      <c r="C325" s="42">
        <v>40653697</v>
      </c>
      <c r="D325" s="42" t="s">
        <v>2021</v>
      </c>
      <c r="E325" s="42" t="s">
        <v>2022</v>
      </c>
      <c r="F325" s="42"/>
      <c r="G325" s="42">
        <v>11</v>
      </c>
      <c r="H325" s="43">
        <v>0.28000000000000003</v>
      </c>
      <c r="I325" s="43">
        <f t="shared" si="8"/>
        <v>3.08</v>
      </c>
      <c r="J325" s="42" t="s">
        <v>14</v>
      </c>
      <c r="K325" s="44">
        <v>9</v>
      </c>
    </row>
    <row r="326" spans="1:11" ht="20.100000000000001" customHeight="1">
      <c r="A326" s="41">
        <v>320</v>
      </c>
      <c r="B326" s="42" t="s">
        <v>2023</v>
      </c>
      <c r="C326" s="42">
        <v>40676222</v>
      </c>
      <c r="D326" s="42" t="s">
        <v>2024</v>
      </c>
      <c r="E326" s="42" t="s">
        <v>2025</v>
      </c>
      <c r="F326" s="42"/>
      <c r="G326" s="42">
        <v>3</v>
      </c>
      <c r="H326" s="43">
        <v>307.20999999999998</v>
      </c>
      <c r="I326" s="43">
        <f t="shared" si="8"/>
        <v>921.62999999999988</v>
      </c>
      <c r="J326" s="42" t="s">
        <v>14</v>
      </c>
      <c r="K326" s="44">
        <v>3</v>
      </c>
    </row>
    <row r="327" spans="1:11" ht="20.100000000000001" customHeight="1">
      <c r="A327" s="37">
        <v>321</v>
      </c>
      <c r="B327" s="42" t="s">
        <v>2026</v>
      </c>
      <c r="C327" s="42" t="s">
        <v>2027</v>
      </c>
      <c r="D327" s="42" t="s">
        <v>2028</v>
      </c>
      <c r="E327" s="42" t="s">
        <v>2029</v>
      </c>
      <c r="F327" s="42" t="s">
        <v>2030</v>
      </c>
      <c r="G327" s="42">
        <v>4</v>
      </c>
      <c r="H327" s="43"/>
      <c r="I327" s="43">
        <f t="shared" si="8"/>
        <v>0</v>
      </c>
      <c r="J327" s="42" t="s">
        <v>14</v>
      </c>
      <c r="K327" s="44">
        <v>4</v>
      </c>
    </row>
    <row r="328" spans="1:11" ht="20.100000000000001" customHeight="1">
      <c r="A328" s="41">
        <v>322</v>
      </c>
      <c r="B328" s="42" t="s">
        <v>2031</v>
      </c>
      <c r="C328" s="42" t="s">
        <v>2032</v>
      </c>
      <c r="D328" s="42" t="s">
        <v>2028</v>
      </c>
      <c r="E328" s="42" t="s">
        <v>2029</v>
      </c>
      <c r="F328" s="42" t="s">
        <v>2033</v>
      </c>
      <c r="G328" s="42">
        <v>24</v>
      </c>
      <c r="H328" s="43"/>
      <c r="I328" s="43">
        <f t="shared" si="8"/>
        <v>0</v>
      </c>
      <c r="J328" s="42" t="s">
        <v>14</v>
      </c>
      <c r="K328" s="44">
        <v>24</v>
      </c>
    </row>
    <row r="329" spans="1:11" ht="20.100000000000001" customHeight="1">
      <c r="A329" s="37">
        <v>323</v>
      </c>
      <c r="B329" s="42" t="s">
        <v>2034</v>
      </c>
      <c r="C329" s="42" t="s">
        <v>2035</v>
      </c>
      <c r="D329" s="42" t="s">
        <v>2036</v>
      </c>
      <c r="E329" s="42" t="s">
        <v>2037</v>
      </c>
      <c r="F329" s="42" t="s">
        <v>2038</v>
      </c>
      <c r="G329" s="42">
        <v>2</v>
      </c>
      <c r="H329" s="43"/>
      <c r="I329" s="43">
        <f t="shared" si="8"/>
        <v>0</v>
      </c>
      <c r="J329" s="42" t="s">
        <v>14</v>
      </c>
      <c r="K329" s="44">
        <v>2</v>
      </c>
    </row>
    <row r="330" spans="1:11" ht="20.100000000000001" customHeight="1">
      <c r="A330" s="41">
        <v>324</v>
      </c>
      <c r="B330" s="42" t="s">
        <v>2039</v>
      </c>
      <c r="C330" s="42">
        <v>40691784</v>
      </c>
      <c r="D330" s="42" t="s">
        <v>2040</v>
      </c>
      <c r="E330" s="42" t="s">
        <v>2041</v>
      </c>
      <c r="F330" s="42"/>
      <c r="G330" s="42">
        <v>4</v>
      </c>
      <c r="H330" s="43">
        <v>3032.98</v>
      </c>
      <c r="I330" s="43">
        <f t="shared" si="8"/>
        <v>12131.92</v>
      </c>
      <c r="J330" s="42" t="s">
        <v>14</v>
      </c>
      <c r="K330" s="44">
        <v>4</v>
      </c>
    </row>
    <row r="331" spans="1:11" ht="20.100000000000001" customHeight="1">
      <c r="A331" s="37">
        <v>325</v>
      </c>
      <c r="B331" s="42" t="s">
        <v>2042</v>
      </c>
      <c r="C331" s="42">
        <v>40697702</v>
      </c>
      <c r="D331" s="42" t="s">
        <v>2043</v>
      </c>
      <c r="E331" s="42" t="s">
        <v>2044</v>
      </c>
      <c r="F331" s="42"/>
      <c r="G331" s="42">
        <v>5</v>
      </c>
      <c r="H331" s="43">
        <v>660.66</v>
      </c>
      <c r="I331" s="43">
        <f t="shared" si="8"/>
        <v>3303.2999999999997</v>
      </c>
      <c r="J331" s="42" t="s">
        <v>59</v>
      </c>
      <c r="K331" s="44">
        <v>5</v>
      </c>
    </row>
    <row r="332" spans="1:11" ht="20.100000000000001" customHeight="1">
      <c r="A332" s="41">
        <v>326</v>
      </c>
      <c r="B332" s="42" t="s">
        <v>2045</v>
      </c>
      <c r="C332" s="42">
        <v>40697702</v>
      </c>
      <c r="D332" s="42" t="s">
        <v>2046</v>
      </c>
      <c r="E332" s="42" t="s">
        <v>2047</v>
      </c>
      <c r="F332" s="42" t="s">
        <v>2048</v>
      </c>
      <c r="G332" s="42">
        <v>6</v>
      </c>
      <c r="H332" s="43"/>
      <c r="I332" s="43">
        <f t="shared" si="8"/>
        <v>0</v>
      </c>
      <c r="J332" s="42" t="s">
        <v>59</v>
      </c>
      <c r="K332" s="44">
        <v>6</v>
      </c>
    </row>
    <row r="333" spans="1:11" ht="20.100000000000001" customHeight="1">
      <c r="A333" s="37">
        <v>327</v>
      </c>
      <c r="B333" s="42" t="s">
        <v>2049</v>
      </c>
      <c r="C333" s="42">
        <v>40786134</v>
      </c>
      <c r="D333" s="42" t="s">
        <v>2050</v>
      </c>
      <c r="E333" s="42" t="s">
        <v>2051</v>
      </c>
      <c r="F333" s="42"/>
      <c r="G333" s="42">
        <v>10</v>
      </c>
      <c r="H333" s="43">
        <v>1839</v>
      </c>
      <c r="I333" s="43">
        <f t="shared" si="8"/>
        <v>18390</v>
      </c>
      <c r="J333" s="42" t="s">
        <v>14</v>
      </c>
      <c r="K333" s="44">
        <v>10</v>
      </c>
    </row>
    <row r="334" spans="1:11" ht="20.100000000000001" customHeight="1">
      <c r="A334" s="41">
        <v>328</v>
      </c>
      <c r="B334" s="42" t="s">
        <v>2052</v>
      </c>
      <c r="C334" s="42">
        <v>40626357</v>
      </c>
      <c r="D334" s="42" t="s">
        <v>2053</v>
      </c>
      <c r="E334" s="42" t="s">
        <v>2054</v>
      </c>
      <c r="F334" s="42"/>
      <c r="G334" s="42">
        <v>2</v>
      </c>
      <c r="H334" s="43">
        <v>841.36</v>
      </c>
      <c r="I334" s="43">
        <f t="shared" si="8"/>
        <v>1682.72</v>
      </c>
      <c r="J334" s="42" t="s">
        <v>14</v>
      </c>
      <c r="K334" s="44">
        <v>2</v>
      </c>
    </row>
    <row r="335" spans="1:11" ht="20.100000000000001" customHeight="1">
      <c r="A335" s="37">
        <v>329</v>
      </c>
      <c r="B335" s="42" t="s">
        <v>2055</v>
      </c>
      <c r="C335" s="42">
        <v>40793321</v>
      </c>
      <c r="D335" s="42" t="s">
        <v>2056</v>
      </c>
      <c r="E335" s="42" t="s">
        <v>2057</v>
      </c>
      <c r="F335" s="42"/>
      <c r="G335" s="42">
        <v>1</v>
      </c>
      <c r="H335" s="43">
        <v>5875.02</v>
      </c>
      <c r="I335" s="43">
        <f t="shared" si="8"/>
        <v>5875.02</v>
      </c>
      <c r="J335" s="42" t="s">
        <v>59</v>
      </c>
      <c r="K335" s="44">
        <v>1</v>
      </c>
    </row>
    <row r="336" spans="1:11" ht="20.100000000000001" customHeight="1">
      <c r="A336" s="41">
        <v>330</v>
      </c>
      <c r="B336" s="42" t="s">
        <v>2058</v>
      </c>
      <c r="C336" s="42">
        <v>40793320</v>
      </c>
      <c r="D336" s="42" t="s">
        <v>2059</v>
      </c>
      <c r="E336" s="42" t="s">
        <v>2060</v>
      </c>
      <c r="F336" s="42"/>
      <c r="G336" s="42">
        <v>4</v>
      </c>
      <c r="H336" s="43">
        <v>6688.87</v>
      </c>
      <c r="I336" s="43">
        <f t="shared" si="8"/>
        <v>26755.48</v>
      </c>
      <c r="J336" s="42" t="s">
        <v>59</v>
      </c>
      <c r="K336" s="44">
        <v>4</v>
      </c>
    </row>
    <row r="337" spans="1:11" ht="20.100000000000001" customHeight="1">
      <c r="A337" s="37">
        <v>331</v>
      </c>
      <c r="B337" s="42" t="s">
        <v>2061</v>
      </c>
      <c r="C337" s="42">
        <v>40778604</v>
      </c>
      <c r="D337" s="42" t="s">
        <v>2062</v>
      </c>
      <c r="E337" s="42" t="s">
        <v>2063</v>
      </c>
      <c r="F337" s="42"/>
      <c r="G337" s="42">
        <v>3</v>
      </c>
      <c r="H337" s="43">
        <v>3691.98</v>
      </c>
      <c r="I337" s="43">
        <f t="shared" si="8"/>
        <v>11075.94</v>
      </c>
      <c r="J337" s="42" t="s">
        <v>14</v>
      </c>
      <c r="K337" s="44">
        <v>3</v>
      </c>
    </row>
    <row r="338" spans="1:11" ht="20.100000000000001" customHeight="1">
      <c r="A338" s="41">
        <v>332</v>
      </c>
      <c r="B338" s="42" t="s">
        <v>2064</v>
      </c>
      <c r="C338" s="42">
        <v>40793319</v>
      </c>
      <c r="D338" s="42" t="s">
        <v>2065</v>
      </c>
      <c r="E338" s="42" t="s">
        <v>2066</v>
      </c>
      <c r="F338" s="42"/>
      <c r="G338" s="42">
        <v>3</v>
      </c>
      <c r="H338" s="43">
        <v>5752.94</v>
      </c>
      <c r="I338" s="43">
        <f t="shared" si="8"/>
        <v>17258.82</v>
      </c>
      <c r="J338" s="42" t="s">
        <v>59</v>
      </c>
      <c r="K338" s="44">
        <v>3</v>
      </c>
    </row>
    <row r="339" spans="1:11" ht="20.100000000000001" customHeight="1">
      <c r="A339" s="37">
        <v>333</v>
      </c>
      <c r="B339" s="42" t="s">
        <v>2067</v>
      </c>
      <c r="C339" s="45">
        <v>130900670</v>
      </c>
      <c r="D339" s="45" t="s">
        <v>2068</v>
      </c>
      <c r="E339" s="42"/>
      <c r="F339" s="46"/>
      <c r="G339" s="42">
        <v>9</v>
      </c>
      <c r="H339" s="43">
        <f>VLOOKUP(C339,[1]Sheet4!$B$2:$H$344,7,FALSE)</f>
        <v>37.14</v>
      </c>
      <c r="I339" s="43">
        <f t="shared" si="8"/>
        <v>334.26</v>
      </c>
      <c r="J339" s="45" t="s">
        <v>14</v>
      </c>
      <c r="K339" s="44">
        <v>9</v>
      </c>
    </row>
    <row r="340" spans="1:11" ht="20.100000000000001" customHeight="1">
      <c r="A340" s="41">
        <v>334</v>
      </c>
      <c r="B340" s="42" t="s">
        <v>2069</v>
      </c>
      <c r="C340" s="42">
        <v>130800498</v>
      </c>
      <c r="D340" s="45" t="s">
        <v>2070</v>
      </c>
      <c r="E340" s="42"/>
      <c r="F340" s="46"/>
      <c r="G340" s="42">
        <v>10</v>
      </c>
      <c r="H340" s="43">
        <f>VLOOKUP(C340,[1]Sheet4!$B$2:$H$344,7,FALSE)</f>
        <v>17.829999999999998</v>
      </c>
      <c r="I340" s="43">
        <f t="shared" si="8"/>
        <v>178.29999999999998</v>
      </c>
      <c r="J340" s="45" t="s">
        <v>14</v>
      </c>
      <c r="K340" s="44">
        <v>10</v>
      </c>
    </row>
    <row r="341" spans="1:11" ht="20.100000000000001" customHeight="1">
      <c r="A341" s="37">
        <v>335</v>
      </c>
      <c r="B341" s="42" t="s">
        <v>2071</v>
      </c>
      <c r="C341" s="45">
        <v>130400294</v>
      </c>
      <c r="D341" s="45" t="s">
        <v>2072</v>
      </c>
      <c r="E341" s="42"/>
      <c r="F341" s="46"/>
      <c r="G341" s="42">
        <v>10</v>
      </c>
      <c r="H341" s="43">
        <f>VLOOKUP(C341,[1]Sheet4!$B$2:$H$344,7,FALSE)</f>
        <v>15.09</v>
      </c>
      <c r="I341" s="43">
        <f t="shared" si="8"/>
        <v>150.9</v>
      </c>
      <c r="J341" s="45" t="s">
        <v>14</v>
      </c>
      <c r="K341" s="44">
        <v>9</v>
      </c>
    </row>
    <row r="342" spans="1:11" ht="20.100000000000001" customHeight="1">
      <c r="A342" s="41">
        <v>336</v>
      </c>
      <c r="B342" s="42" t="s">
        <v>2073</v>
      </c>
      <c r="C342" s="45" t="s">
        <v>2074</v>
      </c>
      <c r="D342" s="45" t="s">
        <v>1064</v>
      </c>
      <c r="E342" s="42"/>
      <c r="F342" s="46"/>
      <c r="G342" s="42">
        <v>100</v>
      </c>
      <c r="H342" s="43"/>
      <c r="I342" s="43">
        <f t="shared" si="8"/>
        <v>0</v>
      </c>
      <c r="J342" s="45"/>
      <c r="K342" s="44">
        <v>100</v>
      </c>
    </row>
    <row r="343" spans="1:11" ht="20.100000000000001" customHeight="1">
      <c r="A343" s="37">
        <v>337</v>
      </c>
      <c r="B343" s="51" t="s">
        <v>2075</v>
      </c>
      <c r="C343" s="42" t="s">
        <v>2076</v>
      </c>
      <c r="D343" s="42" t="s">
        <v>2077</v>
      </c>
      <c r="E343" s="42" t="s">
        <v>2078</v>
      </c>
      <c r="F343" s="42"/>
      <c r="G343" s="42">
        <v>1300</v>
      </c>
      <c r="H343" s="43"/>
      <c r="I343" s="43">
        <f t="shared" si="8"/>
        <v>0</v>
      </c>
      <c r="J343" s="42" t="s">
        <v>59</v>
      </c>
      <c r="K343" s="44">
        <v>1300</v>
      </c>
    </row>
    <row r="344" spans="1:11" ht="20.100000000000001" customHeight="1">
      <c r="A344" s="41">
        <v>338</v>
      </c>
      <c r="B344" s="42" t="s">
        <v>2079</v>
      </c>
      <c r="C344" s="42">
        <v>40156490</v>
      </c>
      <c r="D344" s="42" t="s">
        <v>2080</v>
      </c>
      <c r="E344" s="42" t="s">
        <v>2081</v>
      </c>
      <c r="F344" s="42"/>
      <c r="G344" s="42">
        <v>28</v>
      </c>
      <c r="H344" s="43" t="e">
        <f>VLOOKUP(C344,[1]Sheet4!$B$2:$H$344,7,FALSE)</f>
        <v>#N/A</v>
      </c>
      <c r="I344" s="43" t="e">
        <f t="shared" si="8"/>
        <v>#N/A</v>
      </c>
      <c r="J344" s="42" t="s">
        <v>14</v>
      </c>
      <c r="K344" s="44">
        <v>24</v>
      </c>
    </row>
    <row r="345" spans="1:11" ht="20.100000000000001" customHeight="1">
      <c r="A345" s="37">
        <v>339</v>
      </c>
      <c r="B345" s="42" t="s">
        <v>2082</v>
      </c>
      <c r="C345" s="42" t="s">
        <v>2083</v>
      </c>
      <c r="D345" s="42" t="s">
        <v>2084</v>
      </c>
      <c r="E345" s="42" t="s">
        <v>2085</v>
      </c>
      <c r="F345" s="42"/>
      <c r="G345" s="42">
        <v>34</v>
      </c>
      <c r="H345" s="43"/>
      <c r="I345" s="43">
        <f t="shared" si="8"/>
        <v>0</v>
      </c>
      <c r="J345" s="42" t="s">
        <v>14</v>
      </c>
      <c r="K345" s="44">
        <v>32</v>
      </c>
    </row>
    <row r="346" spans="1:11" ht="20.100000000000001" customHeight="1">
      <c r="A346" s="41">
        <v>340</v>
      </c>
      <c r="B346" s="42" t="s">
        <v>2086</v>
      </c>
      <c r="C346" s="42">
        <v>130600162</v>
      </c>
      <c r="D346" s="42" t="s">
        <v>2087</v>
      </c>
      <c r="E346" s="42"/>
      <c r="F346" s="42"/>
      <c r="G346" s="42">
        <v>5</v>
      </c>
      <c r="H346" s="43"/>
      <c r="I346" s="43">
        <f t="shared" si="8"/>
        <v>0</v>
      </c>
      <c r="J346" s="42"/>
      <c r="K346" s="44">
        <v>5</v>
      </c>
    </row>
    <row r="347" spans="1:11" ht="20.100000000000001" customHeight="1">
      <c r="A347" s="37">
        <v>341</v>
      </c>
      <c r="B347" s="42" t="s">
        <v>2086</v>
      </c>
      <c r="C347" s="42">
        <v>40810900</v>
      </c>
      <c r="D347" s="42" t="s">
        <v>2088</v>
      </c>
      <c r="E347" s="42" t="s">
        <v>2089</v>
      </c>
      <c r="F347" s="42" t="s">
        <v>2090</v>
      </c>
      <c r="G347" s="42">
        <v>7</v>
      </c>
      <c r="H347" s="43">
        <v>11.75</v>
      </c>
      <c r="I347" s="43">
        <f t="shared" si="8"/>
        <v>82.25</v>
      </c>
      <c r="J347" s="42" t="s">
        <v>14</v>
      </c>
      <c r="K347" s="44">
        <v>6</v>
      </c>
    </row>
    <row r="348" spans="1:11" ht="20.100000000000001" customHeight="1">
      <c r="A348" s="41">
        <v>342</v>
      </c>
      <c r="B348" s="42" t="s">
        <v>2091</v>
      </c>
      <c r="C348" s="42">
        <v>40678746</v>
      </c>
      <c r="D348" s="42" t="s">
        <v>2092</v>
      </c>
      <c r="E348" s="42" t="s">
        <v>2093</v>
      </c>
      <c r="F348" s="42" t="s">
        <v>2094</v>
      </c>
      <c r="G348" s="42">
        <v>228</v>
      </c>
      <c r="H348" s="43">
        <v>4.8499999999999996</v>
      </c>
      <c r="I348" s="43">
        <f t="shared" si="8"/>
        <v>1105.8</v>
      </c>
      <c r="J348" s="42" t="s">
        <v>14</v>
      </c>
      <c r="K348" s="44">
        <v>226</v>
      </c>
    </row>
    <row r="349" spans="1:11" ht="20.100000000000001" customHeight="1">
      <c r="A349" s="37">
        <v>343</v>
      </c>
      <c r="B349" s="42" t="s">
        <v>2095</v>
      </c>
      <c r="C349" s="45">
        <v>40684095</v>
      </c>
      <c r="D349" s="45" t="s">
        <v>2096</v>
      </c>
      <c r="E349" s="42"/>
      <c r="F349" s="46"/>
      <c r="G349" s="42">
        <v>5</v>
      </c>
      <c r="H349" s="43">
        <f>VLOOKUP(C349,[1]Sheet4!$B$2:$H$344,7,FALSE)</f>
        <v>17.63</v>
      </c>
      <c r="I349" s="43">
        <f t="shared" si="8"/>
        <v>88.149999999999991</v>
      </c>
      <c r="J349" s="45" t="s">
        <v>14</v>
      </c>
      <c r="K349" s="44">
        <v>4</v>
      </c>
    </row>
    <row r="350" spans="1:11" ht="20.100000000000001" customHeight="1">
      <c r="A350" s="41">
        <v>344</v>
      </c>
      <c r="B350" s="42" t="s">
        <v>2097</v>
      </c>
      <c r="C350" s="45">
        <v>130600141</v>
      </c>
      <c r="D350" s="45" t="s">
        <v>2098</v>
      </c>
      <c r="E350" s="42"/>
      <c r="F350" s="46"/>
      <c r="G350" s="42">
        <v>5</v>
      </c>
      <c r="H350" s="43">
        <f>VLOOKUP(C350,[1]Sheet4!$B$2:$H$344,7,FALSE)</f>
        <v>7.7</v>
      </c>
      <c r="I350" s="43">
        <f t="shared" si="8"/>
        <v>38.5</v>
      </c>
      <c r="J350" s="45" t="s">
        <v>14</v>
      </c>
      <c r="K350" s="44">
        <v>5</v>
      </c>
    </row>
    <row r="351" spans="1:11" ht="20.100000000000001" customHeight="1">
      <c r="A351" s="37">
        <v>345</v>
      </c>
      <c r="B351" s="42" t="s">
        <v>2099</v>
      </c>
      <c r="C351" s="42">
        <v>40261690</v>
      </c>
      <c r="D351" s="42" t="s">
        <v>2100</v>
      </c>
      <c r="E351" s="42" t="s">
        <v>2101</v>
      </c>
      <c r="F351" s="42"/>
      <c r="G351" s="42">
        <v>3</v>
      </c>
      <c r="H351" s="43">
        <v>400.7</v>
      </c>
      <c r="I351" s="43">
        <f t="shared" si="8"/>
        <v>1202.0999999999999</v>
      </c>
      <c r="J351" s="42" t="s">
        <v>14</v>
      </c>
      <c r="K351" s="44">
        <v>3</v>
      </c>
    </row>
    <row r="352" spans="1:11" ht="20.100000000000001" customHeight="1">
      <c r="A352" s="41">
        <v>346</v>
      </c>
      <c r="B352" s="42" t="s">
        <v>2102</v>
      </c>
      <c r="C352" s="42" t="s">
        <v>2103</v>
      </c>
      <c r="D352" s="42" t="s">
        <v>2104</v>
      </c>
      <c r="E352" s="42" t="s">
        <v>719</v>
      </c>
      <c r="F352" s="42" t="s">
        <v>2105</v>
      </c>
      <c r="G352" s="42">
        <v>8</v>
      </c>
      <c r="H352" s="43"/>
      <c r="I352" s="43">
        <f t="shared" si="8"/>
        <v>0</v>
      </c>
      <c r="J352" s="42" t="s">
        <v>14</v>
      </c>
      <c r="K352" s="44">
        <v>8</v>
      </c>
    </row>
    <row r="353" spans="1:11" ht="20.100000000000001" customHeight="1">
      <c r="A353" s="37">
        <v>347</v>
      </c>
      <c r="B353" s="42" t="s">
        <v>2106</v>
      </c>
      <c r="C353" s="42">
        <v>40653746</v>
      </c>
      <c r="D353" s="42" t="s">
        <v>2107</v>
      </c>
      <c r="E353" s="42" t="s">
        <v>2108</v>
      </c>
      <c r="F353" s="42"/>
      <c r="G353" s="42">
        <v>99</v>
      </c>
      <c r="H353" s="43">
        <v>4.43</v>
      </c>
      <c r="I353" s="43">
        <f t="shared" si="8"/>
        <v>438.57</v>
      </c>
      <c r="J353" s="42" t="s">
        <v>14</v>
      </c>
      <c r="K353" s="44">
        <v>99</v>
      </c>
    </row>
    <row r="354" spans="1:11" ht="20.100000000000001" customHeight="1">
      <c r="A354" s="41">
        <v>348</v>
      </c>
      <c r="B354" s="42" t="s">
        <v>2109</v>
      </c>
      <c r="C354" s="42">
        <v>40653747</v>
      </c>
      <c r="D354" s="42" t="s">
        <v>2110</v>
      </c>
      <c r="E354" s="42" t="s">
        <v>2111</v>
      </c>
      <c r="F354" s="42"/>
      <c r="G354" s="42">
        <v>79</v>
      </c>
      <c r="H354" s="43">
        <v>5.31</v>
      </c>
      <c r="I354" s="43">
        <f t="shared" si="8"/>
        <v>419.48999999999995</v>
      </c>
      <c r="J354" s="42" t="s">
        <v>14</v>
      </c>
      <c r="K354" s="44">
        <v>72</v>
      </c>
    </row>
    <row r="355" spans="1:11" ht="20.100000000000001" customHeight="1">
      <c r="A355" s="37">
        <v>349</v>
      </c>
      <c r="B355" s="42" t="s">
        <v>2112</v>
      </c>
      <c r="C355" s="42">
        <v>40653743</v>
      </c>
      <c r="D355" s="42" t="s">
        <v>2113</v>
      </c>
      <c r="E355" s="42" t="s">
        <v>2114</v>
      </c>
      <c r="F355" s="42"/>
      <c r="G355" s="42">
        <v>100</v>
      </c>
      <c r="H355" s="43">
        <v>3.9</v>
      </c>
      <c r="I355" s="43">
        <f t="shared" si="8"/>
        <v>390</v>
      </c>
      <c r="J355" s="42" t="s">
        <v>14</v>
      </c>
      <c r="K355" s="44">
        <v>100</v>
      </c>
    </row>
    <row r="356" spans="1:11" ht="20.100000000000001" customHeight="1">
      <c r="A356" s="41">
        <v>350</v>
      </c>
      <c r="B356" s="42" t="s">
        <v>2115</v>
      </c>
      <c r="C356" s="42">
        <v>40653745</v>
      </c>
      <c r="D356" s="42" t="s">
        <v>2116</v>
      </c>
      <c r="E356" s="42" t="s">
        <v>2117</v>
      </c>
      <c r="F356" s="42"/>
      <c r="G356" s="42">
        <v>99</v>
      </c>
      <c r="H356" s="43">
        <v>3.9</v>
      </c>
      <c r="I356" s="43">
        <f t="shared" si="8"/>
        <v>386.09999999999997</v>
      </c>
      <c r="J356" s="42" t="s">
        <v>14</v>
      </c>
      <c r="K356" s="44">
        <v>99</v>
      </c>
    </row>
    <row r="357" spans="1:11" ht="20.100000000000001" customHeight="1">
      <c r="A357" s="37">
        <v>351</v>
      </c>
      <c r="B357" s="42" t="s">
        <v>2118</v>
      </c>
      <c r="C357" s="42">
        <v>40653703</v>
      </c>
      <c r="D357" s="42" t="s">
        <v>2119</v>
      </c>
      <c r="E357" s="42" t="s">
        <v>2120</v>
      </c>
      <c r="F357" s="42"/>
      <c r="G357" s="42">
        <v>92</v>
      </c>
      <c r="H357" s="43">
        <v>1.59</v>
      </c>
      <c r="I357" s="43">
        <f t="shared" si="8"/>
        <v>146.28</v>
      </c>
      <c r="J357" s="42" t="s">
        <v>14</v>
      </c>
      <c r="K357" s="44">
        <v>90</v>
      </c>
    </row>
    <row r="358" spans="1:11" ht="20.100000000000001" customHeight="1">
      <c r="A358" s="41">
        <v>352</v>
      </c>
      <c r="B358" s="42" t="s">
        <v>2121</v>
      </c>
      <c r="C358" s="42">
        <v>40662247</v>
      </c>
      <c r="D358" s="42" t="s">
        <v>2122</v>
      </c>
      <c r="E358" s="42" t="s">
        <v>2123</v>
      </c>
      <c r="F358" s="42"/>
      <c r="G358" s="42">
        <v>93</v>
      </c>
      <c r="H358" s="43">
        <v>1.28</v>
      </c>
      <c r="I358" s="43">
        <f t="shared" si="8"/>
        <v>119.04</v>
      </c>
      <c r="J358" s="42" t="s">
        <v>14</v>
      </c>
      <c r="K358" s="44">
        <v>93</v>
      </c>
    </row>
    <row r="359" spans="1:11" ht="20.100000000000001" customHeight="1">
      <c r="A359" s="37">
        <v>353</v>
      </c>
      <c r="B359" s="42" t="s">
        <v>2124</v>
      </c>
      <c r="C359" s="42">
        <v>40653744</v>
      </c>
      <c r="D359" s="42" t="s">
        <v>2125</v>
      </c>
      <c r="E359" s="42" t="s">
        <v>2126</v>
      </c>
      <c r="F359" s="42"/>
      <c r="G359" s="42">
        <v>100</v>
      </c>
      <c r="H359" s="43">
        <v>2.83</v>
      </c>
      <c r="I359" s="43">
        <f t="shared" si="8"/>
        <v>283</v>
      </c>
      <c r="J359" s="42" t="s">
        <v>14</v>
      </c>
      <c r="K359" s="44">
        <v>100</v>
      </c>
    </row>
    <row r="360" spans="1:11" ht="20.100000000000001" customHeight="1">
      <c r="A360" s="41">
        <v>354</v>
      </c>
      <c r="B360" s="42" t="s">
        <v>2127</v>
      </c>
      <c r="C360" s="42">
        <v>40653702</v>
      </c>
      <c r="D360" s="42" t="s">
        <v>2128</v>
      </c>
      <c r="E360" s="42" t="s">
        <v>2129</v>
      </c>
      <c r="F360" s="42"/>
      <c r="G360" s="42">
        <v>97</v>
      </c>
      <c r="H360" s="43">
        <v>1.24</v>
      </c>
      <c r="I360" s="43">
        <f t="shared" si="8"/>
        <v>120.28</v>
      </c>
      <c r="J360" s="42" t="s">
        <v>14</v>
      </c>
      <c r="K360" s="44">
        <v>97</v>
      </c>
    </row>
    <row r="361" spans="1:11" ht="20.100000000000001" customHeight="1">
      <c r="A361" s="37">
        <v>355</v>
      </c>
      <c r="B361" s="42" t="s">
        <v>2130</v>
      </c>
      <c r="C361" s="42">
        <v>40653742</v>
      </c>
      <c r="D361" s="42" t="s">
        <v>2131</v>
      </c>
      <c r="E361" s="42" t="s">
        <v>2132</v>
      </c>
      <c r="F361" s="42"/>
      <c r="G361" s="42">
        <v>57</v>
      </c>
      <c r="H361" s="43">
        <v>1.59</v>
      </c>
      <c r="I361" s="43">
        <f t="shared" si="8"/>
        <v>90.63000000000001</v>
      </c>
      <c r="J361" s="42" t="s">
        <v>14</v>
      </c>
      <c r="K361" s="44">
        <v>43</v>
      </c>
    </row>
    <row r="362" spans="1:11" ht="20.100000000000001" customHeight="1">
      <c r="A362" s="41">
        <v>356</v>
      </c>
      <c r="B362" s="42" t="s">
        <v>2133</v>
      </c>
      <c r="C362" s="42">
        <v>40653704</v>
      </c>
      <c r="D362" s="42" t="s">
        <v>2134</v>
      </c>
      <c r="E362" s="42" t="s">
        <v>2135</v>
      </c>
      <c r="F362" s="42"/>
      <c r="G362" s="42">
        <v>99</v>
      </c>
      <c r="H362" s="43">
        <v>1.77</v>
      </c>
      <c r="I362" s="43">
        <f t="shared" si="8"/>
        <v>175.23</v>
      </c>
      <c r="J362" s="42" t="s">
        <v>14</v>
      </c>
      <c r="K362" s="44">
        <v>98</v>
      </c>
    </row>
    <row r="363" spans="1:11" ht="20.100000000000001" customHeight="1">
      <c r="A363" s="37">
        <v>357</v>
      </c>
      <c r="B363" s="42" t="s">
        <v>2136</v>
      </c>
      <c r="C363" s="42">
        <v>40653705</v>
      </c>
      <c r="D363" s="42" t="s">
        <v>2137</v>
      </c>
      <c r="E363" s="42" t="s">
        <v>2138</v>
      </c>
      <c r="F363" s="42"/>
      <c r="G363" s="42">
        <v>28</v>
      </c>
      <c r="H363" s="43">
        <v>2.04</v>
      </c>
      <c r="I363" s="43">
        <f t="shared" si="8"/>
        <v>57.120000000000005</v>
      </c>
      <c r="J363" s="42" t="s">
        <v>14</v>
      </c>
      <c r="K363" s="44">
        <v>15</v>
      </c>
    </row>
    <row r="364" spans="1:11" ht="20.100000000000001" customHeight="1">
      <c r="A364" s="41">
        <v>358</v>
      </c>
      <c r="B364" s="42" t="s">
        <v>2139</v>
      </c>
      <c r="C364" s="42" t="s">
        <v>2140</v>
      </c>
      <c r="D364" s="42" t="s">
        <v>2141</v>
      </c>
      <c r="E364" s="42" t="s">
        <v>2142</v>
      </c>
      <c r="F364" s="42" t="s">
        <v>2143</v>
      </c>
      <c r="G364" s="42">
        <v>30</v>
      </c>
      <c r="H364" s="43"/>
      <c r="I364" s="43">
        <f t="shared" si="8"/>
        <v>0</v>
      </c>
      <c r="J364" s="42" t="s">
        <v>14</v>
      </c>
      <c r="K364" s="44">
        <v>30</v>
      </c>
    </row>
    <row r="365" spans="1:11" ht="20.100000000000001" customHeight="1">
      <c r="A365" s="37">
        <v>359</v>
      </c>
      <c r="B365" s="42" t="s">
        <v>2144</v>
      </c>
      <c r="C365" s="42" t="s">
        <v>2145</v>
      </c>
      <c r="D365" s="42" t="s">
        <v>2141</v>
      </c>
      <c r="E365" s="42" t="s">
        <v>2142</v>
      </c>
      <c r="F365" s="42" t="s">
        <v>2146</v>
      </c>
      <c r="G365" s="42">
        <v>30</v>
      </c>
      <c r="H365" s="43"/>
      <c r="I365" s="43">
        <f t="shared" si="8"/>
        <v>0</v>
      </c>
      <c r="J365" s="42" t="s">
        <v>14</v>
      </c>
      <c r="K365" s="44">
        <v>30</v>
      </c>
    </row>
    <row r="366" spans="1:11" ht="20.100000000000001" customHeight="1">
      <c r="A366" s="41">
        <v>360</v>
      </c>
      <c r="B366" s="42" t="s">
        <v>2147</v>
      </c>
      <c r="C366" s="42" t="s">
        <v>2148</v>
      </c>
      <c r="D366" s="42" t="s">
        <v>2149</v>
      </c>
      <c r="E366" s="42" t="s">
        <v>2150</v>
      </c>
      <c r="F366" s="42" t="s">
        <v>2151</v>
      </c>
      <c r="G366" s="42">
        <v>19</v>
      </c>
      <c r="H366" s="43"/>
      <c r="I366" s="43">
        <f t="shared" si="8"/>
        <v>0</v>
      </c>
      <c r="J366" s="42" t="s">
        <v>14</v>
      </c>
      <c r="K366" s="44">
        <v>17</v>
      </c>
    </row>
    <row r="367" spans="1:11" ht="20.100000000000001" customHeight="1">
      <c r="A367" s="37">
        <v>361</v>
      </c>
      <c r="B367" s="42" t="s">
        <v>2147</v>
      </c>
      <c r="C367" s="42" t="s">
        <v>2152</v>
      </c>
      <c r="D367" s="42" t="s">
        <v>2149</v>
      </c>
      <c r="E367" s="42" t="s">
        <v>2150</v>
      </c>
      <c r="F367" s="42" t="s">
        <v>2153</v>
      </c>
      <c r="G367" s="42">
        <v>1</v>
      </c>
      <c r="H367" s="43"/>
      <c r="I367" s="43">
        <f t="shared" ref="I367:I369" si="9">H367*G367</f>
        <v>0</v>
      </c>
      <c r="J367" s="42" t="s">
        <v>14</v>
      </c>
      <c r="K367" s="44">
        <v>1</v>
      </c>
    </row>
    <row r="368" spans="1:11" ht="20.100000000000001" customHeight="1">
      <c r="A368" s="41">
        <v>362</v>
      </c>
      <c r="B368" s="42" t="s">
        <v>2147</v>
      </c>
      <c r="C368" s="42" t="s">
        <v>2154</v>
      </c>
      <c r="D368" s="42" t="s">
        <v>2155</v>
      </c>
      <c r="E368" s="42" t="s">
        <v>2156</v>
      </c>
      <c r="F368" s="42" t="s">
        <v>1391</v>
      </c>
      <c r="G368" s="42">
        <v>1</v>
      </c>
      <c r="H368" s="43"/>
      <c r="I368" s="43">
        <f t="shared" si="9"/>
        <v>0</v>
      </c>
      <c r="J368" s="42" t="s">
        <v>14</v>
      </c>
      <c r="K368" s="44">
        <v>1</v>
      </c>
    </row>
    <row r="369" spans="1:11" ht="20.100000000000001" customHeight="1">
      <c r="A369" s="37">
        <v>363</v>
      </c>
      <c r="B369" s="42" t="s">
        <v>2157</v>
      </c>
      <c r="C369" s="42" t="s">
        <v>2158</v>
      </c>
      <c r="D369" s="42" t="s">
        <v>2159</v>
      </c>
      <c r="E369" s="42" t="s">
        <v>2160</v>
      </c>
      <c r="F369" s="42"/>
      <c r="G369" s="42">
        <v>75</v>
      </c>
      <c r="H369" s="43"/>
      <c r="I369" s="43">
        <f t="shared" si="9"/>
        <v>0</v>
      </c>
      <c r="J369" s="42" t="s">
        <v>14</v>
      </c>
      <c r="K369" s="44">
        <v>50</v>
      </c>
    </row>
    <row r="370" spans="1:11" ht="20.100000000000001" customHeight="1">
      <c r="A370" s="41">
        <v>364</v>
      </c>
      <c r="B370" s="42" t="s">
        <v>2161</v>
      </c>
      <c r="C370" s="45" t="s">
        <v>2162</v>
      </c>
      <c r="D370" s="45" t="s">
        <v>2163</v>
      </c>
      <c r="E370" s="42"/>
      <c r="F370" s="46"/>
      <c r="G370" s="42">
        <v>1300</v>
      </c>
      <c r="H370" s="47"/>
      <c r="I370" s="47"/>
      <c r="J370" s="45" t="s">
        <v>14</v>
      </c>
      <c r="K370" s="44">
        <v>1300</v>
      </c>
    </row>
    <row r="371" spans="1:11" ht="20.100000000000001" customHeight="1">
      <c r="A371" s="37">
        <v>365</v>
      </c>
      <c r="B371" s="42" t="s">
        <v>2164</v>
      </c>
      <c r="C371" s="45" t="s">
        <v>2165</v>
      </c>
      <c r="D371" s="45" t="s">
        <v>2166</v>
      </c>
      <c r="E371" s="42"/>
      <c r="F371" s="46"/>
      <c r="G371" s="42">
        <v>1100</v>
      </c>
      <c r="H371" s="47"/>
      <c r="I371" s="47"/>
      <c r="J371" s="45" t="s">
        <v>14</v>
      </c>
      <c r="K371" s="44">
        <v>1100</v>
      </c>
    </row>
    <row r="372" spans="1:11" ht="20.100000000000001" customHeight="1">
      <c r="A372" s="41">
        <v>366</v>
      </c>
      <c r="B372" s="42" t="s">
        <v>2167</v>
      </c>
      <c r="C372" s="42">
        <v>40637447</v>
      </c>
      <c r="D372" s="42" t="s">
        <v>1011</v>
      </c>
      <c r="E372" s="42" t="s">
        <v>2168</v>
      </c>
      <c r="F372" s="42"/>
      <c r="G372" s="42">
        <v>79</v>
      </c>
      <c r="H372" s="43">
        <v>2.04</v>
      </c>
      <c r="I372" s="43">
        <f t="shared" ref="I372:I433" si="10">H372*G372</f>
        <v>161.16</v>
      </c>
      <c r="J372" s="42" t="s">
        <v>14</v>
      </c>
      <c r="K372" s="44">
        <v>79</v>
      </c>
    </row>
    <row r="373" spans="1:11" ht="20.100000000000001" customHeight="1">
      <c r="A373" s="37">
        <v>367</v>
      </c>
      <c r="B373" s="42" t="s">
        <v>2169</v>
      </c>
      <c r="C373" s="42">
        <v>40790825</v>
      </c>
      <c r="D373" s="42" t="s">
        <v>2170</v>
      </c>
      <c r="E373" s="42" t="s">
        <v>2171</v>
      </c>
      <c r="F373" s="42"/>
      <c r="G373" s="42">
        <v>10000</v>
      </c>
      <c r="H373" s="43">
        <v>0.06</v>
      </c>
      <c r="I373" s="43">
        <f t="shared" si="10"/>
        <v>600</v>
      </c>
      <c r="J373" s="42" t="s">
        <v>14</v>
      </c>
      <c r="K373" s="44">
        <v>10000</v>
      </c>
    </row>
    <row r="374" spans="1:11" ht="20.100000000000001" customHeight="1">
      <c r="A374" s="41">
        <v>368</v>
      </c>
      <c r="B374" s="42" t="s">
        <v>2169</v>
      </c>
      <c r="C374" s="45" t="s">
        <v>2172</v>
      </c>
      <c r="D374" s="45" t="s">
        <v>1064</v>
      </c>
      <c r="E374" s="42"/>
      <c r="F374" s="46"/>
      <c r="G374" s="45" t="s">
        <v>2173</v>
      </c>
      <c r="H374" s="47"/>
      <c r="I374" s="43" t="e">
        <f t="shared" si="10"/>
        <v>#VALUE!</v>
      </c>
      <c r="J374" s="45"/>
      <c r="K374" s="44">
        <v>1</v>
      </c>
    </row>
    <row r="375" spans="1:11" ht="20.100000000000001" customHeight="1">
      <c r="A375" s="37">
        <v>369</v>
      </c>
      <c r="B375" s="42" t="s">
        <v>2174</v>
      </c>
      <c r="C375" s="42">
        <v>40790824</v>
      </c>
      <c r="D375" s="42" t="s">
        <v>2175</v>
      </c>
      <c r="E375" s="42" t="s">
        <v>2176</v>
      </c>
      <c r="F375" s="42"/>
      <c r="G375" s="42">
        <v>13300</v>
      </c>
      <c r="H375" s="43">
        <v>7.0000000000000007E-2</v>
      </c>
      <c r="I375" s="43">
        <f t="shared" si="10"/>
        <v>931.00000000000011</v>
      </c>
      <c r="J375" s="42" t="s">
        <v>14</v>
      </c>
      <c r="K375" s="44">
        <v>13300</v>
      </c>
    </row>
    <row r="376" spans="1:11" ht="20.100000000000001" customHeight="1">
      <c r="A376" s="41">
        <v>370</v>
      </c>
      <c r="B376" s="42" t="s">
        <v>2177</v>
      </c>
      <c r="C376" s="42">
        <v>40671603</v>
      </c>
      <c r="D376" s="42" t="s">
        <v>1484</v>
      </c>
      <c r="E376" s="42" t="s">
        <v>1485</v>
      </c>
      <c r="F376" s="42"/>
      <c r="G376" s="42">
        <v>19</v>
      </c>
      <c r="H376" s="43">
        <v>116.34</v>
      </c>
      <c r="I376" s="43">
        <f t="shared" si="10"/>
        <v>2210.46</v>
      </c>
      <c r="J376" s="42" t="s">
        <v>14</v>
      </c>
      <c r="K376" s="44">
        <v>19</v>
      </c>
    </row>
    <row r="377" spans="1:11" ht="20.100000000000001" customHeight="1">
      <c r="A377" s="37">
        <v>371</v>
      </c>
      <c r="B377" s="42" t="s">
        <v>2178</v>
      </c>
      <c r="C377" s="42">
        <v>40674727</v>
      </c>
      <c r="D377" s="42" t="s">
        <v>2179</v>
      </c>
      <c r="E377" s="42" t="s">
        <v>2180</v>
      </c>
      <c r="F377" s="42"/>
      <c r="G377" s="42">
        <v>10</v>
      </c>
      <c r="H377" s="43">
        <v>35.71</v>
      </c>
      <c r="I377" s="43">
        <f t="shared" si="10"/>
        <v>357.1</v>
      </c>
      <c r="J377" s="42" t="s">
        <v>14</v>
      </c>
      <c r="K377" s="44">
        <v>10</v>
      </c>
    </row>
    <row r="378" spans="1:11" ht="20.100000000000001" customHeight="1">
      <c r="A378" s="41">
        <v>372</v>
      </c>
      <c r="B378" s="42" t="s">
        <v>2181</v>
      </c>
      <c r="C378" s="42">
        <v>40694710</v>
      </c>
      <c r="D378" s="42" t="s">
        <v>2182</v>
      </c>
      <c r="E378" s="42" t="s">
        <v>2183</v>
      </c>
      <c r="F378" s="42"/>
      <c r="G378" s="42">
        <v>5</v>
      </c>
      <c r="H378" s="43">
        <v>0.12</v>
      </c>
      <c r="I378" s="43">
        <f t="shared" si="10"/>
        <v>0.6</v>
      </c>
      <c r="J378" s="42" t="s">
        <v>14</v>
      </c>
      <c r="K378" s="44">
        <v>5</v>
      </c>
    </row>
    <row r="379" spans="1:11" ht="20.100000000000001" customHeight="1">
      <c r="A379" s="37">
        <v>373</v>
      </c>
      <c r="B379" s="42" t="s">
        <v>2184</v>
      </c>
      <c r="C379" s="42" t="s">
        <v>2185</v>
      </c>
      <c r="D379" s="42" t="s">
        <v>2186</v>
      </c>
      <c r="E379" s="42" t="s">
        <v>2187</v>
      </c>
      <c r="F379" s="42" t="s">
        <v>2188</v>
      </c>
      <c r="G379" s="42">
        <v>10</v>
      </c>
      <c r="H379" s="43"/>
      <c r="I379" s="43">
        <f t="shared" si="10"/>
        <v>0</v>
      </c>
      <c r="J379" s="42" t="s">
        <v>14</v>
      </c>
      <c r="K379" s="44">
        <v>10</v>
      </c>
    </row>
    <row r="380" spans="1:11" ht="20.100000000000001" customHeight="1">
      <c r="A380" s="41">
        <v>374</v>
      </c>
      <c r="B380" s="42" t="s">
        <v>2189</v>
      </c>
      <c r="C380" s="42">
        <v>40674728</v>
      </c>
      <c r="D380" s="42" t="s">
        <v>2190</v>
      </c>
      <c r="E380" s="42" t="s">
        <v>2191</v>
      </c>
      <c r="F380" s="42"/>
      <c r="G380" s="42">
        <v>10</v>
      </c>
      <c r="H380" s="43">
        <v>35.71</v>
      </c>
      <c r="I380" s="43">
        <f t="shared" si="10"/>
        <v>357.1</v>
      </c>
      <c r="J380" s="42" t="s">
        <v>14</v>
      </c>
      <c r="K380" s="44">
        <v>10</v>
      </c>
    </row>
    <row r="381" spans="1:11" ht="20.100000000000001" customHeight="1">
      <c r="A381" s="37">
        <v>375</v>
      </c>
      <c r="B381" s="42" t="s">
        <v>2192</v>
      </c>
      <c r="C381" s="42" t="s">
        <v>2193</v>
      </c>
      <c r="D381" s="42" t="s">
        <v>2194</v>
      </c>
      <c r="E381" s="42" t="s">
        <v>2195</v>
      </c>
      <c r="F381" s="42"/>
      <c r="G381" s="42">
        <v>3</v>
      </c>
      <c r="H381" s="43"/>
      <c r="I381" s="43">
        <f t="shared" si="10"/>
        <v>0</v>
      </c>
      <c r="J381" s="42" t="s">
        <v>14</v>
      </c>
      <c r="K381" s="44">
        <v>3</v>
      </c>
    </row>
    <row r="382" spans="1:11" ht="20.100000000000001" customHeight="1">
      <c r="A382" s="41">
        <v>376</v>
      </c>
      <c r="B382" s="42" t="s">
        <v>2196</v>
      </c>
      <c r="C382" s="45">
        <v>40061584</v>
      </c>
      <c r="D382" s="45" t="s">
        <v>2197</v>
      </c>
      <c r="E382" s="42"/>
      <c r="F382" s="46"/>
      <c r="G382" s="42">
        <v>3</v>
      </c>
      <c r="H382" s="43">
        <f>VLOOKUP(C382,[1]Sheet4!$B$2:$H$344,7,FALSE)</f>
        <v>7.02</v>
      </c>
      <c r="I382" s="43">
        <f t="shared" si="10"/>
        <v>21.06</v>
      </c>
      <c r="J382" s="45" t="s">
        <v>14</v>
      </c>
      <c r="K382" s="44">
        <v>3</v>
      </c>
    </row>
    <row r="383" spans="1:11" ht="20.100000000000001" customHeight="1">
      <c r="A383" s="37">
        <v>377</v>
      </c>
      <c r="B383" s="42" t="s">
        <v>2198</v>
      </c>
      <c r="C383" s="45">
        <v>110400545</v>
      </c>
      <c r="D383" s="45" t="s">
        <v>2199</v>
      </c>
      <c r="E383" s="42"/>
      <c r="F383" s="46"/>
      <c r="G383" s="42">
        <v>13</v>
      </c>
      <c r="H383" s="43">
        <f>VLOOKUP(C383,[1]Sheet4!$B$2:$H$344,7,FALSE)</f>
        <v>50.05</v>
      </c>
      <c r="I383" s="43">
        <f t="shared" si="10"/>
        <v>650.65</v>
      </c>
      <c r="J383" s="45" t="s">
        <v>14</v>
      </c>
      <c r="K383" s="44">
        <v>11</v>
      </c>
    </row>
    <row r="384" spans="1:11" ht="20.100000000000001" customHeight="1">
      <c r="A384" s="41">
        <v>378</v>
      </c>
      <c r="B384" s="42" t="s">
        <v>2200</v>
      </c>
      <c r="C384" s="45">
        <v>130400049</v>
      </c>
      <c r="D384" s="45" t="s">
        <v>2201</v>
      </c>
      <c r="E384" s="42"/>
      <c r="F384" s="46"/>
      <c r="G384" s="42">
        <v>11</v>
      </c>
      <c r="H384" s="43">
        <f>VLOOKUP(C384,[1]Sheet4!$B$2:$H$344,7,FALSE)</f>
        <v>4.93</v>
      </c>
      <c r="I384" s="43">
        <f t="shared" si="10"/>
        <v>54.23</v>
      </c>
      <c r="J384" s="45" t="s">
        <v>14</v>
      </c>
      <c r="K384" s="44">
        <v>11</v>
      </c>
    </row>
    <row r="385" spans="1:11" ht="20.100000000000001" customHeight="1">
      <c r="A385" s="37">
        <v>379</v>
      </c>
      <c r="B385" s="42" t="s">
        <v>2202</v>
      </c>
      <c r="C385" s="45">
        <v>130600178</v>
      </c>
      <c r="D385" s="45" t="s">
        <v>2203</v>
      </c>
      <c r="E385" s="42"/>
      <c r="F385" s="46"/>
      <c r="G385" s="42">
        <v>8</v>
      </c>
      <c r="H385" s="43">
        <f>VLOOKUP(C385,[1]Sheet4!$B$2:$H$344,7,FALSE)</f>
        <v>9.24</v>
      </c>
      <c r="I385" s="43">
        <f t="shared" si="10"/>
        <v>73.92</v>
      </c>
      <c r="J385" s="45" t="s">
        <v>14</v>
      </c>
      <c r="K385" s="44">
        <v>7</v>
      </c>
    </row>
    <row r="386" spans="1:11" ht="20.100000000000001" customHeight="1">
      <c r="A386" s="41">
        <v>380</v>
      </c>
      <c r="B386" s="42" t="s">
        <v>2204</v>
      </c>
      <c r="C386" s="45">
        <v>130600033</v>
      </c>
      <c r="D386" s="45" t="s">
        <v>2205</v>
      </c>
      <c r="E386" s="42"/>
      <c r="F386" s="46"/>
      <c r="G386" s="42">
        <v>8</v>
      </c>
      <c r="H386" s="43">
        <f>VLOOKUP(C386,[1]Sheet4!$B$2:$H$344,7,FALSE)</f>
        <v>3.38</v>
      </c>
      <c r="I386" s="43">
        <f t="shared" si="10"/>
        <v>27.04</v>
      </c>
      <c r="J386" s="45" t="s">
        <v>14</v>
      </c>
      <c r="K386" s="44">
        <v>8</v>
      </c>
    </row>
    <row r="387" spans="1:11" ht="20.100000000000001" customHeight="1">
      <c r="A387" s="37">
        <v>381</v>
      </c>
      <c r="B387" s="42" t="s">
        <v>2204</v>
      </c>
      <c r="C387" s="45">
        <v>130600194</v>
      </c>
      <c r="D387" s="45" t="s">
        <v>2206</v>
      </c>
      <c r="E387" s="42"/>
      <c r="F387" s="46"/>
      <c r="G387" s="42">
        <v>2</v>
      </c>
      <c r="H387" s="43">
        <f>VLOOKUP(C387,[1]Sheet4!$B$2:$H$344,7,FALSE)</f>
        <v>76.739999999999995</v>
      </c>
      <c r="I387" s="43">
        <f t="shared" si="10"/>
        <v>153.47999999999999</v>
      </c>
      <c r="J387" s="45" t="s">
        <v>14</v>
      </c>
      <c r="K387" s="44">
        <v>1</v>
      </c>
    </row>
    <row r="388" spans="1:11" ht="20.100000000000001" customHeight="1">
      <c r="A388" s="41">
        <v>382</v>
      </c>
      <c r="B388" s="42" t="s">
        <v>2207</v>
      </c>
      <c r="C388" s="45">
        <v>130400204</v>
      </c>
      <c r="D388" s="45" t="s">
        <v>2208</v>
      </c>
      <c r="E388" s="42"/>
      <c r="F388" s="46"/>
      <c r="G388" s="42">
        <v>2</v>
      </c>
      <c r="H388" s="43">
        <f>VLOOKUP(C388,[1]Sheet4!$B$2:$H$344,7,FALSE)</f>
        <v>4.21</v>
      </c>
      <c r="I388" s="43">
        <f t="shared" si="10"/>
        <v>8.42</v>
      </c>
      <c r="J388" s="45" t="s">
        <v>14</v>
      </c>
      <c r="K388" s="44">
        <v>2</v>
      </c>
    </row>
    <row r="389" spans="1:11" ht="20.100000000000001" customHeight="1">
      <c r="A389" s="37">
        <v>383</v>
      </c>
      <c r="B389" s="42" t="s">
        <v>2207</v>
      </c>
      <c r="C389" s="45">
        <v>130400207</v>
      </c>
      <c r="D389" s="45" t="s">
        <v>2209</v>
      </c>
      <c r="E389" s="42"/>
      <c r="F389" s="46"/>
      <c r="G389" s="42">
        <v>5</v>
      </c>
      <c r="H389" s="43">
        <f>VLOOKUP(C389,[1]Sheet4!$B$2:$H$344,7,FALSE)</f>
        <v>7.83</v>
      </c>
      <c r="I389" s="43">
        <f t="shared" si="10"/>
        <v>39.15</v>
      </c>
      <c r="J389" s="45" t="s">
        <v>14</v>
      </c>
      <c r="K389" s="44">
        <v>4</v>
      </c>
    </row>
    <row r="390" spans="1:11" ht="20.100000000000001" customHeight="1">
      <c r="A390" s="41">
        <v>384</v>
      </c>
      <c r="B390" s="42" t="s">
        <v>2210</v>
      </c>
      <c r="C390" s="45">
        <v>120101328</v>
      </c>
      <c r="D390" s="45" t="s">
        <v>2211</v>
      </c>
      <c r="E390" s="42"/>
      <c r="F390" s="46"/>
      <c r="G390" s="42">
        <v>2</v>
      </c>
      <c r="H390" s="43">
        <f>VLOOKUP(C390,[1]Sheet4!$B$2:$H$344,7,FALSE)</f>
        <v>98.5</v>
      </c>
      <c r="I390" s="43">
        <f t="shared" si="10"/>
        <v>197</v>
      </c>
      <c r="J390" s="45" t="s">
        <v>14</v>
      </c>
      <c r="K390" s="44">
        <v>2</v>
      </c>
    </row>
    <row r="391" spans="1:11" ht="20.100000000000001" customHeight="1">
      <c r="A391" s="37">
        <v>385</v>
      </c>
      <c r="B391" s="42" t="s">
        <v>2212</v>
      </c>
      <c r="C391" s="45">
        <v>130400205</v>
      </c>
      <c r="D391" s="45" t="s">
        <v>2213</v>
      </c>
      <c r="E391" s="42"/>
      <c r="F391" s="46"/>
      <c r="G391" s="42">
        <v>4</v>
      </c>
      <c r="H391" s="43">
        <f>VLOOKUP(C391,[1]Sheet4!$B$2:$H$344,7,FALSE)</f>
        <v>5.63</v>
      </c>
      <c r="I391" s="43">
        <f t="shared" si="10"/>
        <v>22.52</v>
      </c>
      <c r="J391" s="45" t="s">
        <v>14</v>
      </c>
      <c r="K391" s="44">
        <v>4</v>
      </c>
    </row>
    <row r="392" spans="1:11" ht="20.100000000000001" customHeight="1">
      <c r="A392" s="41">
        <v>386</v>
      </c>
      <c r="B392" s="42" t="s">
        <v>2214</v>
      </c>
      <c r="C392" s="45">
        <v>130600195</v>
      </c>
      <c r="D392" s="45" t="s">
        <v>2215</v>
      </c>
      <c r="E392" s="42"/>
      <c r="F392" s="46"/>
      <c r="G392" s="42">
        <v>5</v>
      </c>
      <c r="H392" s="43">
        <f>VLOOKUP(C392,[1]Sheet4!$B$2:$H$344,7,FALSE)</f>
        <v>19.579999999999998</v>
      </c>
      <c r="I392" s="43">
        <f t="shared" si="10"/>
        <v>97.899999999999991</v>
      </c>
      <c r="J392" s="45" t="s">
        <v>14</v>
      </c>
      <c r="K392" s="44">
        <v>5</v>
      </c>
    </row>
    <row r="393" spans="1:11" ht="20.100000000000001" customHeight="1">
      <c r="A393" s="37">
        <v>387</v>
      </c>
      <c r="B393" s="42" t="s">
        <v>2216</v>
      </c>
      <c r="C393" s="45">
        <v>130600145</v>
      </c>
      <c r="D393" s="45" t="s">
        <v>2217</v>
      </c>
      <c r="E393" s="42"/>
      <c r="F393" s="46"/>
      <c r="G393" s="42">
        <v>10</v>
      </c>
      <c r="H393" s="43">
        <f>VLOOKUP(C393,[1]Sheet4!$B$2:$H$344,7,FALSE)</f>
        <v>2.61</v>
      </c>
      <c r="I393" s="43">
        <f t="shared" si="10"/>
        <v>26.099999999999998</v>
      </c>
      <c r="J393" s="45" t="s">
        <v>14</v>
      </c>
      <c r="K393" s="44">
        <v>10</v>
      </c>
    </row>
    <row r="394" spans="1:11" ht="20.100000000000001" customHeight="1">
      <c r="A394" s="41">
        <v>388</v>
      </c>
      <c r="B394" s="42" t="s">
        <v>2216</v>
      </c>
      <c r="C394" s="45">
        <v>130600069</v>
      </c>
      <c r="D394" s="45" t="s">
        <v>2218</v>
      </c>
      <c r="E394" s="42"/>
      <c r="F394" s="46"/>
      <c r="G394" s="42">
        <v>5</v>
      </c>
      <c r="H394" s="43">
        <f>VLOOKUP(C394,[1]Sheet4!$B$2:$H$344,7,FALSE)</f>
        <v>3.23</v>
      </c>
      <c r="I394" s="43">
        <f t="shared" si="10"/>
        <v>16.149999999999999</v>
      </c>
      <c r="J394" s="45" t="s">
        <v>14</v>
      </c>
      <c r="K394" s="44">
        <v>5</v>
      </c>
    </row>
    <row r="395" spans="1:11" ht="20.100000000000001" customHeight="1">
      <c r="A395" s="37">
        <v>389</v>
      </c>
      <c r="B395" s="42" t="s">
        <v>2219</v>
      </c>
      <c r="C395" s="45">
        <v>130400139</v>
      </c>
      <c r="D395" s="45" t="s">
        <v>2220</v>
      </c>
      <c r="E395" s="42"/>
      <c r="F395" s="46"/>
      <c r="G395" s="42">
        <v>15</v>
      </c>
      <c r="H395" s="43">
        <f>VLOOKUP(C395,[1]Sheet4!$B$2:$H$344,7,FALSE)</f>
        <v>6.6</v>
      </c>
      <c r="I395" s="43">
        <f t="shared" si="10"/>
        <v>99</v>
      </c>
      <c r="J395" s="45" t="s">
        <v>14</v>
      </c>
      <c r="K395" s="44">
        <v>15</v>
      </c>
    </row>
    <row r="396" spans="1:11" ht="20.100000000000001" customHeight="1">
      <c r="A396" s="41">
        <v>390</v>
      </c>
      <c r="B396" s="42" t="s">
        <v>2221</v>
      </c>
      <c r="C396" s="45">
        <v>130600029</v>
      </c>
      <c r="D396" s="45" t="s">
        <v>1619</v>
      </c>
      <c r="E396" s="42"/>
      <c r="F396" s="46"/>
      <c r="G396" s="42">
        <v>2</v>
      </c>
      <c r="H396" s="43">
        <f>VLOOKUP(C396,[1]Sheet4!$B$2:$H$344,7,FALSE)</f>
        <v>54.53</v>
      </c>
      <c r="I396" s="43">
        <f t="shared" si="10"/>
        <v>109.06</v>
      </c>
      <c r="J396" s="45" t="s">
        <v>14</v>
      </c>
      <c r="K396" s="44">
        <v>2</v>
      </c>
    </row>
    <row r="397" spans="1:11" ht="20.100000000000001" customHeight="1">
      <c r="A397" s="37">
        <v>391</v>
      </c>
      <c r="B397" s="42" t="s">
        <v>2222</v>
      </c>
      <c r="C397" s="45">
        <v>131300545</v>
      </c>
      <c r="D397" s="45" t="s">
        <v>2223</v>
      </c>
      <c r="E397" s="42"/>
      <c r="F397" s="46"/>
      <c r="G397" s="42">
        <v>100</v>
      </c>
      <c r="H397" s="43">
        <f>VLOOKUP(C397,[1]Sheet4!$B$2:$H$344,7,FALSE)</f>
        <v>0.15</v>
      </c>
      <c r="I397" s="43">
        <f t="shared" si="10"/>
        <v>15</v>
      </c>
      <c r="J397" s="45" t="s">
        <v>14</v>
      </c>
      <c r="K397" s="44">
        <v>94</v>
      </c>
    </row>
    <row r="398" spans="1:11" ht="20.100000000000001" customHeight="1">
      <c r="A398" s="41">
        <v>392</v>
      </c>
      <c r="B398" s="42" t="s">
        <v>2224</v>
      </c>
      <c r="C398" s="45">
        <v>131300547</v>
      </c>
      <c r="D398" s="45" t="s">
        <v>2225</v>
      </c>
      <c r="E398" s="42"/>
      <c r="F398" s="46"/>
      <c r="G398" s="42">
        <v>10</v>
      </c>
      <c r="H398" s="43">
        <f>VLOOKUP(C398,[1]Sheet4!$B$2:$H$344,7,FALSE)</f>
        <v>4.8899999999999997</v>
      </c>
      <c r="I398" s="43">
        <f t="shared" si="10"/>
        <v>48.9</v>
      </c>
      <c r="J398" s="45" t="s">
        <v>14</v>
      </c>
      <c r="K398" s="44">
        <v>10</v>
      </c>
    </row>
    <row r="399" spans="1:11" ht="20.100000000000001" customHeight="1">
      <c r="A399" s="37">
        <v>393</v>
      </c>
      <c r="B399" s="42" t="s">
        <v>2226</v>
      </c>
      <c r="C399" s="45">
        <v>130400211</v>
      </c>
      <c r="D399" s="45" t="s">
        <v>2227</v>
      </c>
      <c r="E399" s="42"/>
      <c r="F399" s="46"/>
      <c r="G399" s="42">
        <v>9</v>
      </c>
      <c r="H399" s="43">
        <f>VLOOKUP(C399,[1]Sheet4!$B$2:$H$344,7,FALSE)</f>
        <v>15.67</v>
      </c>
      <c r="I399" s="43">
        <f t="shared" si="10"/>
        <v>141.03</v>
      </c>
      <c r="J399" s="45" t="s">
        <v>14</v>
      </c>
      <c r="K399" s="44">
        <v>9</v>
      </c>
    </row>
    <row r="400" spans="1:11" ht="20.100000000000001" customHeight="1">
      <c r="A400" s="41">
        <v>394</v>
      </c>
      <c r="B400" s="42" t="s">
        <v>2228</v>
      </c>
      <c r="C400" s="45">
        <v>130600193</v>
      </c>
      <c r="D400" s="45" t="s">
        <v>2229</v>
      </c>
      <c r="E400" s="42"/>
      <c r="F400" s="46"/>
      <c r="G400" s="42">
        <v>3</v>
      </c>
      <c r="H400" s="43">
        <f>VLOOKUP(C400,[1]Sheet4!$B$2:$H$344,7,FALSE)</f>
        <v>120.26</v>
      </c>
      <c r="I400" s="43">
        <f t="shared" si="10"/>
        <v>360.78000000000003</v>
      </c>
      <c r="J400" s="45" t="s">
        <v>14</v>
      </c>
      <c r="K400" s="44">
        <v>3</v>
      </c>
    </row>
    <row r="401" spans="1:11" ht="20.100000000000001" customHeight="1">
      <c r="A401" s="37">
        <v>395</v>
      </c>
      <c r="B401" s="42" t="s">
        <v>2230</v>
      </c>
      <c r="C401" s="45">
        <v>130400212</v>
      </c>
      <c r="D401" s="45" t="s">
        <v>2231</v>
      </c>
      <c r="E401" s="42"/>
      <c r="F401" s="46"/>
      <c r="G401" s="42">
        <v>5</v>
      </c>
      <c r="H401" s="43">
        <f>VLOOKUP(C401,[1]Sheet4!$B$2:$H$344,7,FALSE)</f>
        <v>22.92</v>
      </c>
      <c r="I401" s="43">
        <f t="shared" si="10"/>
        <v>114.60000000000001</v>
      </c>
      <c r="J401" s="45" t="s">
        <v>14</v>
      </c>
      <c r="K401" s="44">
        <v>5</v>
      </c>
    </row>
    <row r="402" spans="1:11" ht="20.100000000000001" customHeight="1">
      <c r="A402" s="41">
        <v>396</v>
      </c>
      <c r="B402" s="42" t="s">
        <v>2232</v>
      </c>
      <c r="C402" s="42">
        <v>40414890</v>
      </c>
      <c r="D402" s="42" t="s">
        <v>2233</v>
      </c>
      <c r="E402" s="42" t="s">
        <v>2234</v>
      </c>
      <c r="F402" s="42"/>
      <c r="G402" s="42">
        <v>150</v>
      </c>
      <c r="H402" s="43">
        <v>15.67</v>
      </c>
      <c r="I402" s="43">
        <f t="shared" si="10"/>
        <v>2350.5</v>
      </c>
      <c r="J402" s="42" t="s">
        <v>14</v>
      </c>
      <c r="K402" s="44">
        <v>150</v>
      </c>
    </row>
    <row r="403" spans="1:11" ht="20.100000000000001" customHeight="1">
      <c r="A403" s="37">
        <v>397</v>
      </c>
      <c r="B403" s="42" t="s">
        <v>2235</v>
      </c>
      <c r="C403" s="42" t="s">
        <v>2236</v>
      </c>
      <c r="D403" s="42" t="s">
        <v>2237</v>
      </c>
      <c r="E403" s="42" t="s">
        <v>2238</v>
      </c>
      <c r="F403" s="42" t="s">
        <v>2239</v>
      </c>
      <c r="G403" s="42">
        <v>5</v>
      </c>
      <c r="H403" s="43"/>
      <c r="I403" s="43">
        <f t="shared" si="10"/>
        <v>0</v>
      </c>
      <c r="J403" s="42" t="s">
        <v>59</v>
      </c>
      <c r="K403" s="44">
        <v>5</v>
      </c>
    </row>
    <row r="404" spans="1:11" ht="20.100000000000001" customHeight="1">
      <c r="A404" s="41">
        <v>398</v>
      </c>
      <c r="B404" s="42" t="s">
        <v>2240</v>
      </c>
      <c r="C404" s="42">
        <v>40417442</v>
      </c>
      <c r="D404" s="42" t="s">
        <v>2241</v>
      </c>
      <c r="E404" s="42" t="s">
        <v>2242</v>
      </c>
      <c r="F404" s="42"/>
      <c r="G404" s="42">
        <v>20</v>
      </c>
      <c r="H404" s="43">
        <v>54.44</v>
      </c>
      <c r="I404" s="43">
        <f t="shared" si="10"/>
        <v>1088.8</v>
      </c>
      <c r="J404" s="42" t="s">
        <v>175</v>
      </c>
      <c r="K404" s="44">
        <v>19</v>
      </c>
    </row>
    <row r="405" spans="1:11" ht="20.100000000000001" customHeight="1">
      <c r="A405" s="37">
        <v>399</v>
      </c>
      <c r="B405" s="42" t="s">
        <v>2243</v>
      </c>
      <c r="C405" s="42">
        <v>40734650</v>
      </c>
      <c r="D405" s="42" t="s">
        <v>2244</v>
      </c>
      <c r="E405" s="42" t="s">
        <v>2245</v>
      </c>
      <c r="F405" s="42" t="s">
        <v>2246</v>
      </c>
      <c r="G405" s="42">
        <v>90</v>
      </c>
      <c r="H405" s="43">
        <v>0.94</v>
      </c>
      <c r="I405" s="43">
        <f t="shared" si="10"/>
        <v>84.6</v>
      </c>
      <c r="J405" s="42" t="s">
        <v>14</v>
      </c>
      <c r="K405" s="44">
        <v>90</v>
      </c>
    </row>
    <row r="406" spans="1:11" ht="20.100000000000001" customHeight="1">
      <c r="A406" s="41">
        <v>400</v>
      </c>
      <c r="B406" s="42" t="s">
        <v>2247</v>
      </c>
      <c r="C406" s="42">
        <v>40703654</v>
      </c>
      <c r="D406" s="42" t="s">
        <v>2248</v>
      </c>
      <c r="E406" s="42" t="s">
        <v>2249</v>
      </c>
      <c r="F406" s="42" t="s">
        <v>2250</v>
      </c>
      <c r="G406" s="42">
        <v>71</v>
      </c>
      <c r="H406" s="43">
        <v>4.79</v>
      </c>
      <c r="I406" s="43">
        <f t="shared" si="10"/>
        <v>340.09</v>
      </c>
      <c r="J406" s="42" t="s">
        <v>14</v>
      </c>
      <c r="K406" s="44">
        <v>71</v>
      </c>
    </row>
    <row r="407" spans="1:11" ht="20.100000000000001" customHeight="1">
      <c r="A407" s="37">
        <v>401</v>
      </c>
      <c r="B407" s="42" t="s">
        <v>2251</v>
      </c>
      <c r="C407" s="42">
        <v>40255091</v>
      </c>
      <c r="D407" s="42" t="s">
        <v>2252</v>
      </c>
      <c r="E407" s="42" t="s">
        <v>2253</v>
      </c>
      <c r="F407" s="42"/>
      <c r="G407" s="42">
        <v>2</v>
      </c>
      <c r="H407" s="43">
        <v>30.9</v>
      </c>
      <c r="I407" s="43">
        <f t="shared" si="10"/>
        <v>61.8</v>
      </c>
      <c r="J407" s="42" t="s">
        <v>14</v>
      </c>
      <c r="K407" s="44">
        <v>0</v>
      </c>
    </row>
    <row r="408" spans="1:11" ht="20.100000000000001" customHeight="1">
      <c r="A408" s="41">
        <v>402</v>
      </c>
      <c r="B408" s="42" t="s">
        <v>2254</v>
      </c>
      <c r="C408" s="42">
        <v>40734591</v>
      </c>
      <c r="D408" s="42" t="s">
        <v>2255</v>
      </c>
      <c r="E408" s="42" t="s">
        <v>2256</v>
      </c>
      <c r="F408" s="42" t="s">
        <v>2257</v>
      </c>
      <c r="G408" s="42">
        <v>31</v>
      </c>
      <c r="H408" s="43">
        <v>21.86</v>
      </c>
      <c r="I408" s="43">
        <f t="shared" si="10"/>
        <v>677.66</v>
      </c>
      <c r="J408" s="42" t="s">
        <v>14</v>
      </c>
      <c r="K408" s="44">
        <v>38</v>
      </c>
    </row>
    <row r="409" spans="1:11" ht="20.100000000000001" customHeight="1">
      <c r="A409" s="37">
        <v>403</v>
      </c>
      <c r="B409" s="42" t="s">
        <v>2258</v>
      </c>
      <c r="C409" s="42">
        <v>40734596</v>
      </c>
      <c r="D409" s="42" t="s">
        <v>2259</v>
      </c>
      <c r="E409" s="42" t="s">
        <v>2260</v>
      </c>
      <c r="F409" s="42" t="s">
        <v>2261</v>
      </c>
      <c r="G409" s="42">
        <v>83</v>
      </c>
      <c r="H409" s="43">
        <v>52.9</v>
      </c>
      <c r="I409" s="43">
        <f t="shared" si="10"/>
        <v>4390.7</v>
      </c>
      <c r="J409" s="42" t="s">
        <v>14</v>
      </c>
      <c r="K409" s="44">
        <v>82</v>
      </c>
    </row>
    <row r="410" spans="1:11" ht="20.100000000000001" customHeight="1">
      <c r="A410" s="41">
        <v>404</v>
      </c>
      <c r="B410" s="42" t="s">
        <v>2262</v>
      </c>
      <c r="C410" s="45" t="s">
        <v>2263</v>
      </c>
      <c r="D410" s="45" t="s">
        <v>2264</v>
      </c>
      <c r="E410" s="42"/>
      <c r="F410" s="46"/>
      <c r="G410" s="42">
        <v>30</v>
      </c>
      <c r="H410" s="43"/>
      <c r="I410" s="43">
        <f t="shared" si="10"/>
        <v>0</v>
      </c>
      <c r="J410" s="45" t="s">
        <v>14</v>
      </c>
      <c r="K410" s="44">
        <v>30</v>
      </c>
    </row>
    <row r="411" spans="1:11" ht="20.100000000000001" customHeight="1">
      <c r="A411" s="37">
        <v>405</v>
      </c>
      <c r="B411" s="42" t="s">
        <v>2265</v>
      </c>
      <c r="C411" s="42">
        <v>40734592</v>
      </c>
      <c r="D411" s="42" t="s">
        <v>2266</v>
      </c>
      <c r="E411" s="42" t="s">
        <v>2267</v>
      </c>
      <c r="F411" s="42" t="s">
        <v>2261</v>
      </c>
      <c r="G411" s="42">
        <v>44</v>
      </c>
      <c r="H411" s="43">
        <v>17</v>
      </c>
      <c r="I411" s="43">
        <f t="shared" si="10"/>
        <v>748</v>
      </c>
      <c r="J411" s="42" t="s">
        <v>14</v>
      </c>
      <c r="K411" s="44">
        <v>44</v>
      </c>
    </row>
    <row r="412" spans="1:11" ht="20.100000000000001" customHeight="1">
      <c r="A412" s="41">
        <v>406</v>
      </c>
      <c r="B412" s="42" t="s">
        <v>2268</v>
      </c>
      <c r="C412" s="42">
        <v>40734589</v>
      </c>
      <c r="D412" s="42" t="s">
        <v>2269</v>
      </c>
      <c r="E412" s="42" t="s">
        <v>2270</v>
      </c>
      <c r="F412" s="42" t="s">
        <v>2271</v>
      </c>
      <c r="G412" s="42">
        <v>47</v>
      </c>
      <c r="H412" s="43">
        <v>39.57</v>
      </c>
      <c r="I412" s="43">
        <f t="shared" si="10"/>
        <v>1859.79</v>
      </c>
      <c r="J412" s="42" t="s">
        <v>14</v>
      </c>
      <c r="K412" s="44">
        <v>58</v>
      </c>
    </row>
    <row r="413" spans="1:11" ht="20.100000000000001" customHeight="1">
      <c r="A413" s="37">
        <v>407</v>
      </c>
      <c r="B413" s="42" t="s">
        <v>2272</v>
      </c>
      <c r="C413" s="42">
        <v>40734590</v>
      </c>
      <c r="D413" s="42" t="s">
        <v>2273</v>
      </c>
      <c r="E413" s="42" t="s">
        <v>2274</v>
      </c>
      <c r="F413" s="42" t="s">
        <v>2275</v>
      </c>
      <c r="G413" s="42">
        <v>42</v>
      </c>
      <c r="H413" s="43">
        <v>25.97</v>
      </c>
      <c r="I413" s="43">
        <f t="shared" si="10"/>
        <v>1090.74</v>
      </c>
      <c r="J413" s="42" t="s">
        <v>14</v>
      </c>
      <c r="K413" s="44">
        <v>43</v>
      </c>
    </row>
    <row r="414" spans="1:11" ht="20.100000000000001" customHeight="1">
      <c r="A414" s="41">
        <v>408</v>
      </c>
      <c r="B414" s="42" t="s">
        <v>2276</v>
      </c>
      <c r="C414" s="45" t="s">
        <v>2277</v>
      </c>
      <c r="D414" s="45" t="s">
        <v>2278</v>
      </c>
      <c r="E414" s="42"/>
      <c r="F414" s="46"/>
      <c r="G414" s="42">
        <v>1</v>
      </c>
      <c r="H414" s="43"/>
      <c r="I414" s="43">
        <f t="shared" si="10"/>
        <v>0</v>
      </c>
      <c r="J414" s="45"/>
      <c r="K414" s="44">
        <v>0</v>
      </c>
    </row>
    <row r="415" spans="1:11" ht="20.100000000000001" customHeight="1">
      <c r="A415" s="37">
        <v>409</v>
      </c>
      <c r="B415" s="42" t="s">
        <v>2279</v>
      </c>
      <c r="C415" s="45" t="s">
        <v>2280</v>
      </c>
      <c r="D415" s="45" t="s">
        <v>2281</v>
      </c>
      <c r="E415" s="42"/>
      <c r="F415" s="46"/>
      <c r="G415" s="42">
        <v>20</v>
      </c>
      <c r="H415" s="43"/>
      <c r="I415" s="43">
        <f t="shared" si="10"/>
        <v>0</v>
      </c>
      <c r="J415" s="45"/>
      <c r="K415" s="44">
        <v>20</v>
      </c>
    </row>
    <row r="416" spans="1:11" ht="20.100000000000001" customHeight="1">
      <c r="A416" s="41">
        <v>410</v>
      </c>
      <c r="B416" s="42" t="s">
        <v>2282</v>
      </c>
      <c r="C416" s="45">
        <v>40249993</v>
      </c>
      <c r="D416" s="45" t="s">
        <v>2283</v>
      </c>
      <c r="E416" s="42"/>
      <c r="F416" s="46"/>
      <c r="G416" s="42">
        <v>4</v>
      </c>
      <c r="H416" s="47">
        <v>60.68</v>
      </c>
      <c r="I416" s="47">
        <f t="shared" si="10"/>
        <v>242.72</v>
      </c>
      <c r="J416" s="45" t="s">
        <v>14</v>
      </c>
      <c r="K416" s="44">
        <v>4</v>
      </c>
    </row>
    <row r="417" spans="1:11" ht="20.100000000000001" customHeight="1">
      <c r="A417" s="37">
        <v>411</v>
      </c>
      <c r="B417" s="42" t="s">
        <v>2284</v>
      </c>
      <c r="C417" s="45">
        <v>130100609</v>
      </c>
      <c r="D417" s="45" t="s">
        <v>2285</v>
      </c>
      <c r="E417" s="42"/>
      <c r="F417" s="46"/>
      <c r="G417" s="42">
        <v>37</v>
      </c>
      <c r="H417" s="43">
        <f>VLOOKUP(C417,[1]Sheet4!$B$2:$H$344,7,FALSE)</f>
        <v>9.17</v>
      </c>
      <c r="I417" s="43">
        <f t="shared" si="10"/>
        <v>339.29</v>
      </c>
      <c r="J417" s="45" t="s">
        <v>14</v>
      </c>
      <c r="K417" s="44">
        <v>34</v>
      </c>
    </row>
    <row r="418" spans="1:11" ht="20.100000000000001" customHeight="1">
      <c r="A418" s="41">
        <v>412</v>
      </c>
      <c r="B418" s="42" t="s">
        <v>2286</v>
      </c>
      <c r="C418" s="42">
        <v>40159622</v>
      </c>
      <c r="D418" s="42" t="s">
        <v>188</v>
      </c>
      <c r="E418" s="42" t="s">
        <v>2287</v>
      </c>
      <c r="F418" s="42"/>
      <c r="G418" s="42">
        <v>58</v>
      </c>
      <c r="H418" s="43">
        <v>87.66</v>
      </c>
      <c r="I418" s="43">
        <f t="shared" si="10"/>
        <v>5084.28</v>
      </c>
      <c r="J418" s="42" t="s">
        <v>175</v>
      </c>
      <c r="K418" s="44">
        <v>58</v>
      </c>
    </row>
    <row r="419" spans="1:11" ht="20.100000000000001" customHeight="1">
      <c r="A419" s="37">
        <v>413</v>
      </c>
      <c r="B419" s="42" t="s">
        <v>2288</v>
      </c>
      <c r="C419" s="45">
        <v>130100608</v>
      </c>
      <c r="D419" s="45" t="s">
        <v>2289</v>
      </c>
      <c r="E419" s="42"/>
      <c r="F419" s="46"/>
      <c r="G419" s="42">
        <v>90</v>
      </c>
      <c r="H419" s="43">
        <f>VLOOKUP(C419,[1]Sheet4!$B$2:$H$344,7,FALSE)</f>
        <v>6.75</v>
      </c>
      <c r="I419" s="43">
        <f t="shared" si="10"/>
        <v>607.5</v>
      </c>
      <c r="J419" s="45" t="s">
        <v>14</v>
      </c>
      <c r="K419" s="44">
        <v>88</v>
      </c>
    </row>
    <row r="420" spans="1:11" ht="20.100000000000001" customHeight="1">
      <c r="A420" s="41">
        <v>414</v>
      </c>
      <c r="B420" s="42" t="s">
        <v>2290</v>
      </c>
      <c r="C420" s="45">
        <v>40684104</v>
      </c>
      <c r="D420" s="45" t="s">
        <v>2291</v>
      </c>
      <c r="E420" s="42"/>
      <c r="F420" s="46"/>
      <c r="G420" s="42">
        <v>2</v>
      </c>
      <c r="H420" s="47">
        <v>6397.43</v>
      </c>
      <c r="I420" s="47">
        <f t="shared" si="10"/>
        <v>12794.86</v>
      </c>
      <c r="J420" s="45" t="s">
        <v>14</v>
      </c>
      <c r="K420" s="44">
        <v>2</v>
      </c>
    </row>
    <row r="421" spans="1:11" ht="20.100000000000001" customHeight="1">
      <c r="A421" s="37">
        <v>415</v>
      </c>
      <c r="B421" s="42" t="s">
        <v>2292</v>
      </c>
      <c r="C421" s="42">
        <v>40734598</v>
      </c>
      <c r="D421" s="42" t="s">
        <v>2293</v>
      </c>
      <c r="E421" s="42" t="s">
        <v>2294</v>
      </c>
      <c r="F421" s="42" t="s">
        <v>2295</v>
      </c>
      <c r="G421" s="42">
        <v>88</v>
      </c>
      <c r="H421" s="43">
        <v>5.05</v>
      </c>
      <c r="I421" s="43">
        <f t="shared" si="10"/>
        <v>444.4</v>
      </c>
      <c r="J421" s="42" t="s">
        <v>14</v>
      </c>
      <c r="K421" s="44">
        <v>88</v>
      </c>
    </row>
    <row r="422" spans="1:11" ht="20.100000000000001" customHeight="1">
      <c r="A422" s="41">
        <v>416</v>
      </c>
      <c r="B422" s="42" t="s">
        <v>2296</v>
      </c>
      <c r="C422" s="42">
        <v>40156523</v>
      </c>
      <c r="D422" s="42" t="s">
        <v>2297</v>
      </c>
      <c r="E422" s="42" t="s">
        <v>2298</v>
      </c>
      <c r="F422" s="42"/>
      <c r="G422" s="42">
        <v>12</v>
      </c>
      <c r="H422" s="43">
        <v>279.18</v>
      </c>
      <c r="I422" s="43">
        <f t="shared" si="10"/>
        <v>3350.16</v>
      </c>
      <c r="J422" s="42" t="s">
        <v>14</v>
      </c>
      <c r="K422" s="44">
        <v>12</v>
      </c>
    </row>
    <row r="423" spans="1:11" ht="20.100000000000001" customHeight="1">
      <c r="A423" s="37">
        <v>417</v>
      </c>
      <c r="B423" s="42" t="s">
        <v>2299</v>
      </c>
      <c r="C423" s="42">
        <v>40734597</v>
      </c>
      <c r="D423" s="42" t="s">
        <v>2300</v>
      </c>
      <c r="E423" s="42" t="s">
        <v>2301</v>
      </c>
      <c r="F423" s="42" t="s">
        <v>2264</v>
      </c>
      <c r="G423" s="42">
        <v>84</v>
      </c>
      <c r="H423" s="43">
        <v>12</v>
      </c>
      <c r="I423" s="43">
        <f t="shared" si="10"/>
        <v>1008</v>
      </c>
      <c r="J423" s="42" t="s">
        <v>14</v>
      </c>
      <c r="K423" s="44">
        <v>84</v>
      </c>
    </row>
    <row r="424" spans="1:11" ht="20.100000000000001" customHeight="1">
      <c r="A424" s="41">
        <v>418</v>
      </c>
      <c r="B424" s="42" t="s">
        <v>2302</v>
      </c>
      <c r="C424" s="42">
        <v>40734619</v>
      </c>
      <c r="D424" s="42" t="s">
        <v>2303</v>
      </c>
      <c r="E424" s="42" t="s">
        <v>2304</v>
      </c>
      <c r="F424" s="42"/>
      <c r="G424" s="42">
        <v>3</v>
      </c>
      <c r="H424" s="43">
        <v>283.62</v>
      </c>
      <c r="I424" s="43">
        <f t="shared" si="10"/>
        <v>850.86</v>
      </c>
      <c r="J424" s="42" t="s">
        <v>59</v>
      </c>
      <c r="K424" s="44">
        <v>3</v>
      </c>
    </row>
    <row r="425" spans="1:11" ht="20.100000000000001" customHeight="1">
      <c r="A425" s="37">
        <v>419</v>
      </c>
      <c r="B425" s="42" t="s">
        <v>2305</v>
      </c>
      <c r="C425" s="42" t="s">
        <v>2306</v>
      </c>
      <c r="D425" s="42" t="s">
        <v>2307</v>
      </c>
      <c r="E425" s="42" t="s">
        <v>2308</v>
      </c>
      <c r="F425" s="42"/>
      <c r="G425" s="42">
        <v>7</v>
      </c>
      <c r="H425" s="43"/>
      <c r="I425" s="43">
        <f t="shared" si="10"/>
        <v>0</v>
      </c>
      <c r="J425" s="42" t="s">
        <v>14</v>
      </c>
      <c r="K425" s="44">
        <v>7</v>
      </c>
    </row>
    <row r="426" spans="1:11" ht="20.100000000000001" customHeight="1">
      <c r="A426" s="41">
        <v>420</v>
      </c>
      <c r="B426" s="42" t="s">
        <v>2309</v>
      </c>
      <c r="C426" s="42">
        <v>40734599</v>
      </c>
      <c r="D426" s="42" t="s">
        <v>2310</v>
      </c>
      <c r="E426" s="42" t="s">
        <v>2311</v>
      </c>
      <c r="F426" s="42" t="s">
        <v>2312</v>
      </c>
      <c r="G426" s="42">
        <v>97</v>
      </c>
      <c r="H426" s="43">
        <v>8.69</v>
      </c>
      <c r="I426" s="43">
        <f t="shared" si="10"/>
        <v>842.93</v>
      </c>
      <c r="J426" s="42" t="s">
        <v>14</v>
      </c>
      <c r="K426" s="44">
        <v>97</v>
      </c>
    </row>
    <row r="427" spans="1:11" ht="20.100000000000001" customHeight="1">
      <c r="A427" s="37">
        <v>421</v>
      </c>
      <c r="B427" s="42" t="s">
        <v>2313</v>
      </c>
      <c r="C427" s="42">
        <v>40686760</v>
      </c>
      <c r="D427" s="42" t="s">
        <v>2314</v>
      </c>
      <c r="E427" s="42" t="s">
        <v>2315</v>
      </c>
      <c r="F427" s="42" t="s">
        <v>2316</v>
      </c>
      <c r="G427" s="42">
        <v>119</v>
      </c>
      <c r="H427" s="43">
        <v>9.75</v>
      </c>
      <c r="I427" s="43">
        <f t="shared" si="10"/>
        <v>1160.25</v>
      </c>
      <c r="J427" s="42" t="s">
        <v>14</v>
      </c>
      <c r="K427" s="44">
        <v>119</v>
      </c>
    </row>
    <row r="428" spans="1:11" ht="20.100000000000001" customHeight="1">
      <c r="A428" s="41">
        <v>422</v>
      </c>
      <c r="B428" s="42" t="s">
        <v>2317</v>
      </c>
      <c r="C428" s="42">
        <v>40734618</v>
      </c>
      <c r="D428" s="42" t="s">
        <v>2318</v>
      </c>
      <c r="E428" s="42" t="s">
        <v>2319</v>
      </c>
      <c r="F428" s="42"/>
      <c r="G428" s="42">
        <v>4</v>
      </c>
      <c r="H428" s="43">
        <v>26.08</v>
      </c>
      <c r="I428" s="43">
        <f t="shared" si="10"/>
        <v>104.32</v>
      </c>
      <c r="J428" s="42" t="s">
        <v>59</v>
      </c>
      <c r="K428" s="44">
        <v>4</v>
      </c>
    </row>
    <row r="429" spans="1:11" ht="20.100000000000001" customHeight="1">
      <c r="A429" s="37">
        <v>423</v>
      </c>
      <c r="B429" s="42" t="s">
        <v>2320</v>
      </c>
      <c r="C429" s="42">
        <v>40653761</v>
      </c>
      <c r="D429" s="42" t="s">
        <v>2321</v>
      </c>
      <c r="E429" s="42" t="s">
        <v>2322</v>
      </c>
      <c r="F429" s="42"/>
      <c r="G429" s="42">
        <v>1</v>
      </c>
      <c r="H429" s="43">
        <v>6.52</v>
      </c>
      <c r="I429" s="43">
        <f t="shared" si="10"/>
        <v>6.52</v>
      </c>
      <c r="J429" s="42" t="s">
        <v>59</v>
      </c>
      <c r="K429" s="44">
        <v>1</v>
      </c>
    </row>
    <row r="430" spans="1:11" ht="20.100000000000001" customHeight="1">
      <c r="A430" s="41">
        <v>424</v>
      </c>
      <c r="B430" s="42" t="s">
        <v>2323</v>
      </c>
      <c r="C430" s="42">
        <v>40678750</v>
      </c>
      <c r="D430" s="42" t="s">
        <v>2324</v>
      </c>
      <c r="E430" s="42" t="s">
        <v>2325</v>
      </c>
      <c r="F430" s="42" t="s">
        <v>2326</v>
      </c>
      <c r="G430" s="42">
        <v>8</v>
      </c>
      <c r="H430" s="43">
        <v>1.72</v>
      </c>
      <c r="I430" s="43">
        <f t="shared" si="10"/>
        <v>13.76</v>
      </c>
      <c r="J430" s="42" t="s">
        <v>14</v>
      </c>
      <c r="K430" s="44">
        <v>8</v>
      </c>
    </row>
    <row r="431" spans="1:11" ht="20.100000000000001" customHeight="1">
      <c r="A431" s="37">
        <v>425</v>
      </c>
      <c r="B431" s="42" t="s">
        <v>2327</v>
      </c>
      <c r="C431" s="42">
        <v>40734622</v>
      </c>
      <c r="D431" s="42" t="s">
        <v>2328</v>
      </c>
      <c r="E431" s="42" t="s">
        <v>2329</v>
      </c>
      <c r="F431" s="42" t="s">
        <v>2330</v>
      </c>
      <c r="G431" s="42">
        <v>130</v>
      </c>
      <c r="H431" s="43">
        <v>0.5</v>
      </c>
      <c r="I431" s="43">
        <f t="shared" si="10"/>
        <v>65</v>
      </c>
      <c r="J431" s="42" t="s">
        <v>59</v>
      </c>
      <c r="K431" s="44">
        <v>128</v>
      </c>
    </row>
    <row r="432" spans="1:11" ht="20.100000000000001" customHeight="1">
      <c r="A432" s="41">
        <v>426</v>
      </c>
      <c r="B432" s="42" t="s">
        <v>2331</v>
      </c>
      <c r="C432" s="42">
        <v>40620637</v>
      </c>
      <c r="D432" s="42" t="s">
        <v>2332</v>
      </c>
      <c r="E432" s="42" t="s">
        <v>2333</v>
      </c>
      <c r="F432" s="42"/>
      <c r="G432" s="42">
        <v>14</v>
      </c>
      <c r="H432" s="43">
        <v>125.19</v>
      </c>
      <c r="I432" s="43">
        <f t="shared" si="10"/>
        <v>1752.6599999999999</v>
      </c>
      <c r="J432" s="42" t="s">
        <v>14</v>
      </c>
      <c r="K432" s="44">
        <v>14</v>
      </c>
    </row>
    <row r="433" spans="1:11" ht="20.100000000000001" customHeight="1">
      <c r="A433" s="37">
        <v>427</v>
      </c>
      <c r="B433" s="42" t="s">
        <v>2334</v>
      </c>
      <c r="C433" s="45" t="s">
        <v>2335</v>
      </c>
      <c r="D433" s="45" t="s">
        <v>2336</v>
      </c>
      <c r="E433" s="42"/>
      <c r="F433" s="46"/>
      <c r="G433" s="42">
        <v>6</v>
      </c>
      <c r="H433" s="43"/>
      <c r="I433" s="43">
        <f t="shared" si="10"/>
        <v>0</v>
      </c>
      <c r="J433" s="45" t="s">
        <v>59</v>
      </c>
      <c r="K433" s="44">
        <v>6</v>
      </c>
    </row>
    <row r="434" spans="1:11" ht="20.100000000000001" customHeight="1">
      <c r="A434" s="41">
        <v>428</v>
      </c>
      <c r="B434" s="42" t="s">
        <v>2337</v>
      </c>
      <c r="C434" s="45" t="s">
        <v>2338</v>
      </c>
      <c r="D434" s="45"/>
      <c r="E434" s="42"/>
      <c r="F434" s="46"/>
      <c r="G434" s="42">
        <v>2</v>
      </c>
      <c r="H434" s="47"/>
      <c r="I434" s="47"/>
      <c r="J434" s="45" t="s">
        <v>14</v>
      </c>
      <c r="K434" s="44">
        <v>2</v>
      </c>
    </row>
    <row r="435" spans="1:11" ht="20.100000000000001" customHeight="1">
      <c r="A435" s="37">
        <v>429</v>
      </c>
      <c r="B435" s="42" t="s">
        <v>2339</v>
      </c>
      <c r="C435" s="42">
        <v>40678751</v>
      </c>
      <c r="D435" s="42" t="s">
        <v>2340</v>
      </c>
      <c r="E435" s="42" t="s">
        <v>2341</v>
      </c>
      <c r="F435" s="42" t="s">
        <v>2342</v>
      </c>
      <c r="G435" s="42">
        <v>10</v>
      </c>
      <c r="H435" s="43">
        <v>4.4400000000000004</v>
      </c>
      <c r="I435" s="43">
        <f t="shared" ref="I435:I446" si="11">H435*G435</f>
        <v>44.400000000000006</v>
      </c>
      <c r="J435" s="42" t="s">
        <v>14</v>
      </c>
      <c r="K435" s="44">
        <v>8</v>
      </c>
    </row>
    <row r="436" spans="1:11" ht="20.100000000000001" customHeight="1">
      <c r="A436" s="41">
        <v>430</v>
      </c>
      <c r="B436" s="42" t="s">
        <v>2343</v>
      </c>
      <c r="C436" s="42">
        <v>131300378</v>
      </c>
      <c r="D436" s="42" t="s">
        <v>2344</v>
      </c>
      <c r="E436" s="42" t="s">
        <v>2345</v>
      </c>
      <c r="F436" s="42"/>
      <c r="G436" s="42">
        <v>3</v>
      </c>
      <c r="H436" s="43">
        <v>0</v>
      </c>
      <c r="I436" s="43">
        <f t="shared" si="11"/>
        <v>0</v>
      </c>
      <c r="J436" s="42" t="s">
        <v>175</v>
      </c>
      <c r="K436" s="44">
        <v>1</v>
      </c>
    </row>
    <row r="437" spans="1:11" ht="20.100000000000001" customHeight="1">
      <c r="A437" s="37">
        <v>431</v>
      </c>
      <c r="B437" s="42" t="s">
        <v>2346</v>
      </c>
      <c r="C437" s="42">
        <v>130900666</v>
      </c>
      <c r="D437" s="42" t="s">
        <v>2347</v>
      </c>
      <c r="E437" s="42" t="s">
        <v>2348</v>
      </c>
      <c r="F437" s="42"/>
      <c r="G437" s="42">
        <v>3</v>
      </c>
      <c r="H437" s="43">
        <v>190</v>
      </c>
      <c r="I437" s="43">
        <f t="shared" si="11"/>
        <v>570</v>
      </c>
      <c r="J437" s="42" t="s">
        <v>175</v>
      </c>
      <c r="K437" s="44">
        <v>3</v>
      </c>
    </row>
    <row r="438" spans="1:11" ht="20.100000000000001" customHeight="1">
      <c r="A438" s="41">
        <v>432</v>
      </c>
      <c r="B438" s="42" t="s">
        <v>2349</v>
      </c>
      <c r="C438" s="42">
        <v>40734616</v>
      </c>
      <c r="D438" s="42" t="s">
        <v>2350</v>
      </c>
      <c r="E438" s="42" t="s">
        <v>2351</v>
      </c>
      <c r="F438" s="42"/>
      <c r="G438" s="42">
        <v>470</v>
      </c>
      <c r="H438" s="43">
        <v>2.86</v>
      </c>
      <c r="I438" s="43">
        <f t="shared" si="11"/>
        <v>1344.2</v>
      </c>
      <c r="J438" s="42" t="s">
        <v>14</v>
      </c>
      <c r="K438" s="44">
        <v>470</v>
      </c>
    </row>
    <row r="439" spans="1:11" ht="20.100000000000001" customHeight="1">
      <c r="A439" s="37">
        <v>433</v>
      </c>
      <c r="B439" s="42" t="s">
        <v>2352</v>
      </c>
      <c r="C439" s="42">
        <v>140100259</v>
      </c>
      <c r="D439" s="42" t="s">
        <v>2353</v>
      </c>
      <c r="E439" s="42" t="s">
        <v>2354</v>
      </c>
      <c r="F439" s="42"/>
      <c r="G439" s="42">
        <v>93</v>
      </c>
      <c r="H439" s="43">
        <v>26.8</v>
      </c>
      <c r="I439" s="43">
        <f t="shared" si="11"/>
        <v>2492.4</v>
      </c>
      <c r="J439" s="42" t="s">
        <v>14</v>
      </c>
      <c r="K439" s="44">
        <v>93</v>
      </c>
    </row>
    <row r="440" spans="1:11" ht="20.100000000000001" customHeight="1">
      <c r="A440" s="41">
        <v>434</v>
      </c>
      <c r="B440" s="42" t="s">
        <v>2355</v>
      </c>
      <c r="C440" s="42">
        <v>140100208</v>
      </c>
      <c r="D440" s="42" t="s">
        <v>2356</v>
      </c>
      <c r="E440" s="42" t="s">
        <v>2357</v>
      </c>
      <c r="F440" s="42"/>
      <c r="G440" s="42">
        <v>86</v>
      </c>
      <c r="H440" s="43">
        <v>17.8</v>
      </c>
      <c r="I440" s="43">
        <f t="shared" si="11"/>
        <v>1530.8</v>
      </c>
      <c r="J440" s="42" t="s">
        <v>14</v>
      </c>
      <c r="K440" s="44">
        <v>83</v>
      </c>
    </row>
    <row r="441" spans="1:11" ht="20.100000000000001" customHeight="1">
      <c r="A441" s="37">
        <v>435</v>
      </c>
      <c r="B441" s="42" t="s">
        <v>2358</v>
      </c>
      <c r="C441" s="42">
        <v>40748878</v>
      </c>
      <c r="D441" s="42" t="s">
        <v>2359</v>
      </c>
      <c r="E441" s="42" t="s">
        <v>2360</v>
      </c>
      <c r="F441" s="42" t="s">
        <v>2361</v>
      </c>
      <c r="G441" s="42">
        <v>231</v>
      </c>
      <c r="H441" s="43">
        <v>1.1399999999999999</v>
      </c>
      <c r="I441" s="43">
        <f t="shared" si="11"/>
        <v>263.33999999999997</v>
      </c>
      <c r="J441" s="42" t="s">
        <v>14</v>
      </c>
      <c r="K441" s="44">
        <v>227</v>
      </c>
    </row>
    <row r="442" spans="1:11" ht="20.100000000000001" customHeight="1">
      <c r="A442" s="41">
        <v>436</v>
      </c>
      <c r="B442" s="42" t="s">
        <v>2362</v>
      </c>
      <c r="C442" s="42" t="s">
        <v>2363</v>
      </c>
      <c r="D442" s="42" t="s">
        <v>2364</v>
      </c>
      <c r="E442" s="42" t="s">
        <v>2365</v>
      </c>
      <c r="F442" s="42" t="s">
        <v>2366</v>
      </c>
      <c r="G442" s="42">
        <v>3</v>
      </c>
      <c r="H442" s="43"/>
      <c r="I442" s="43">
        <f t="shared" si="11"/>
        <v>0</v>
      </c>
      <c r="J442" s="42" t="s">
        <v>14</v>
      </c>
      <c r="K442" s="44">
        <v>3</v>
      </c>
    </row>
    <row r="443" spans="1:11" ht="20.100000000000001" customHeight="1">
      <c r="A443" s="37">
        <v>437</v>
      </c>
      <c r="B443" s="42" t="s">
        <v>2367</v>
      </c>
      <c r="C443" s="42">
        <v>40678757</v>
      </c>
      <c r="D443" s="42" t="s">
        <v>2368</v>
      </c>
      <c r="E443" s="42" t="s">
        <v>2369</v>
      </c>
      <c r="F443" s="42"/>
      <c r="G443" s="42">
        <v>2</v>
      </c>
      <c r="H443" s="43">
        <v>154.74</v>
      </c>
      <c r="I443" s="43">
        <f t="shared" si="11"/>
        <v>309.48</v>
      </c>
      <c r="J443" s="42" t="s">
        <v>14</v>
      </c>
      <c r="K443" s="44">
        <v>2</v>
      </c>
    </row>
    <row r="444" spans="1:11" ht="20.100000000000001" customHeight="1">
      <c r="A444" s="41">
        <v>438</v>
      </c>
      <c r="B444" s="42" t="s">
        <v>2370</v>
      </c>
      <c r="C444" s="45" t="s">
        <v>2371</v>
      </c>
      <c r="D444" s="45"/>
      <c r="E444" s="42"/>
      <c r="F444" s="46"/>
      <c r="G444" s="42">
        <v>2</v>
      </c>
      <c r="H444" s="47"/>
      <c r="I444" s="47">
        <f t="shared" si="11"/>
        <v>0</v>
      </c>
      <c r="J444" s="45" t="s">
        <v>14</v>
      </c>
      <c r="K444" s="44">
        <v>2</v>
      </c>
    </row>
    <row r="445" spans="1:11" ht="20.100000000000001" customHeight="1">
      <c r="A445" s="37">
        <v>439</v>
      </c>
      <c r="B445" s="42" t="s">
        <v>2372</v>
      </c>
      <c r="C445" s="45">
        <v>40734607</v>
      </c>
      <c r="D445" s="45" t="s">
        <v>2373</v>
      </c>
      <c r="E445" s="42"/>
      <c r="F445" s="46"/>
      <c r="G445" s="42">
        <v>7</v>
      </c>
      <c r="H445" s="47">
        <v>42.77</v>
      </c>
      <c r="I445" s="47">
        <f t="shared" si="11"/>
        <v>299.39000000000004</v>
      </c>
      <c r="J445" s="45" t="s">
        <v>14</v>
      </c>
      <c r="K445" s="44">
        <v>7</v>
      </c>
    </row>
    <row r="446" spans="1:11" ht="20.100000000000001" customHeight="1">
      <c r="A446" s="41">
        <v>440</v>
      </c>
      <c r="B446" s="42" t="s">
        <v>2374</v>
      </c>
      <c r="C446" s="45">
        <v>40734606</v>
      </c>
      <c r="D446" s="45" t="s">
        <v>2375</v>
      </c>
      <c r="E446" s="42"/>
      <c r="F446" s="46"/>
      <c r="G446" s="42">
        <v>8</v>
      </c>
      <c r="H446" s="47">
        <v>52.98</v>
      </c>
      <c r="I446" s="47">
        <f t="shared" si="11"/>
        <v>423.84</v>
      </c>
      <c r="J446" s="45" t="s">
        <v>14</v>
      </c>
      <c r="K446" s="44">
        <v>8</v>
      </c>
    </row>
    <row r="447" spans="1:11" ht="20.100000000000001" customHeight="1">
      <c r="A447" s="37">
        <v>441</v>
      </c>
      <c r="B447" s="42" t="s">
        <v>2376</v>
      </c>
      <c r="C447" s="45" t="s">
        <v>2377</v>
      </c>
      <c r="D447" s="45" t="s">
        <v>2378</v>
      </c>
      <c r="E447" s="42"/>
      <c r="F447" s="46"/>
      <c r="G447" s="42">
        <v>8</v>
      </c>
      <c r="H447" s="47"/>
      <c r="I447" s="47"/>
      <c r="J447" s="45" t="s">
        <v>14</v>
      </c>
      <c r="K447" s="44">
        <v>8</v>
      </c>
    </row>
    <row r="448" spans="1:11" ht="20.100000000000001" customHeight="1">
      <c r="A448" s="41">
        <v>442</v>
      </c>
      <c r="B448" s="42" t="s">
        <v>2379</v>
      </c>
      <c r="C448" s="45" t="s">
        <v>2380</v>
      </c>
      <c r="D448" s="45" t="s">
        <v>2381</v>
      </c>
      <c r="E448" s="42"/>
      <c r="F448" s="46"/>
      <c r="G448" s="42">
        <v>5</v>
      </c>
      <c r="H448" s="47"/>
      <c r="I448" s="47"/>
      <c r="J448" s="45" t="s">
        <v>14</v>
      </c>
      <c r="K448" s="44">
        <v>5</v>
      </c>
    </row>
    <row r="449" spans="1:11" ht="20.100000000000001" customHeight="1">
      <c r="A449" s="37">
        <v>443</v>
      </c>
      <c r="B449" s="42" t="s">
        <v>2382</v>
      </c>
      <c r="C449" s="45" t="s">
        <v>2371</v>
      </c>
      <c r="D449" s="45" t="s">
        <v>2383</v>
      </c>
      <c r="E449" s="42"/>
      <c r="F449" s="46"/>
      <c r="G449" s="42">
        <v>7</v>
      </c>
      <c r="H449" s="47"/>
      <c r="I449" s="47"/>
      <c r="J449" s="45" t="s">
        <v>14</v>
      </c>
      <c r="K449" s="44">
        <v>7</v>
      </c>
    </row>
    <row r="450" spans="1:11" ht="20.100000000000001" customHeight="1">
      <c r="A450" s="41">
        <v>444</v>
      </c>
      <c r="B450" s="42" t="s">
        <v>2384</v>
      </c>
      <c r="C450" s="45">
        <v>40734602</v>
      </c>
      <c r="D450" s="45" t="s">
        <v>2385</v>
      </c>
      <c r="E450" s="42"/>
      <c r="F450" s="46"/>
      <c r="G450" s="42">
        <v>6</v>
      </c>
      <c r="H450" s="47">
        <v>78.78</v>
      </c>
      <c r="I450" s="47">
        <f t="shared" ref="I450:I495" si="12">H450*G450</f>
        <v>472.68</v>
      </c>
      <c r="J450" s="45" t="s">
        <v>14</v>
      </c>
      <c r="K450" s="44">
        <v>6</v>
      </c>
    </row>
    <row r="451" spans="1:11" ht="20.100000000000001" customHeight="1">
      <c r="A451" s="37">
        <v>445</v>
      </c>
      <c r="B451" s="42" t="s">
        <v>2386</v>
      </c>
      <c r="C451" s="45">
        <v>40734610</v>
      </c>
      <c r="D451" s="45" t="s">
        <v>2387</v>
      </c>
      <c r="E451" s="42"/>
      <c r="F451" s="46"/>
      <c r="G451" s="42">
        <v>2</v>
      </c>
      <c r="H451" s="47">
        <v>87.44</v>
      </c>
      <c r="I451" s="47">
        <f t="shared" si="12"/>
        <v>174.88</v>
      </c>
      <c r="J451" s="45" t="s">
        <v>14</v>
      </c>
      <c r="K451" s="44">
        <v>2</v>
      </c>
    </row>
    <row r="452" spans="1:11" ht="20.100000000000001" customHeight="1">
      <c r="A452" s="41">
        <v>446</v>
      </c>
      <c r="B452" s="42" t="s">
        <v>2388</v>
      </c>
      <c r="C452" s="42">
        <v>130700094</v>
      </c>
      <c r="D452" s="42" t="s">
        <v>2389</v>
      </c>
      <c r="E452" s="42" t="s">
        <v>2390</v>
      </c>
      <c r="F452" s="42"/>
      <c r="G452" s="42">
        <v>1</v>
      </c>
      <c r="H452" s="43">
        <v>580</v>
      </c>
      <c r="I452" s="43">
        <f t="shared" si="12"/>
        <v>580</v>
      </c>
      <c r="J452" s="42" t="s">
        <v>14</v>
      </c>
      <c r="K452" s="44">
        <v>1</v>
      </c>
    </row>
    <row r="453" spans="1:11" ht="20.100000000000001" customHeight="1">
      <c r="A453" s="37">
        <v>447</v>
      </c>
      <c r="B453" s="42" t="s">
        <v>2391</v>
      </c>
      <c r="C453" s="42">
        <v>40734658</v>
      </c>
      <c r="D453" s="42" t="s">
        <v>2392</v>
      </c>
      <c r="E453" s="42" t="s">
        <v>2393</v>
      </c>
      <c r="F453" s="42"/>
      <c r="G453" s="42">
        <v>889</v>
      </c>
      <c r="H453" s="43">
        <v>0.21</v>
      </c>
      <c r="I453" s="43">
        <f t="shared" si="12"/>
        <v>186.69</v>
      </c>
      <c r="J453" s="42" t="s">
        <v>14</v>
      </c>
      <c r="K453" s="44">
        <v>889</v>
      </c>
    </row>
    <row r="454" spans="1:11" ht="20.100000000000001" customHeight="1">
      <c r="A454" s="41">
        <v>448</v>
      </c>
      <c r="B454" s="42" t="s">
        <v>2394</v>
      </c>
      <c r="C454" s="42">
        <v>40734624</v>
      </c>
      <c r="D454" s="42" t="s">
        <v>2395</v>
      </c>
      <c r="E454" s="42" t="s">
        <v>2396</v>
      </c>
      <c r="F454" s="42" t="s">
        <v>2397</v>
      </c>
      <c r="G454" s="42">
        <v>1650</v>
      </c>
      <c r="H454" s="43">
        <v>1.05</v>
      </c>
      <c r="I454" s="43">
        <f t="shared" si="12"/>
        <v>1732.5</v>
      </c>
      <c r="J454" s="42" t="s">
        <v>14</v>
      </c>
      <c r="K454" s="44">
        <v>1625</v>
      </c>
    </row>
    <row r="455" spans="1:11" ht="20.100000000000001" customHeight="1">
      <c r="A455" s="37">
        <v>449</v>
      </c>
      <c r="B455" s="42" t="s">
        <v>2398</v>
      </c>
      <c r="C455" s="42">
        <v>40678837</v>
      </c>
      <c r="D455" s="42" t="s">
        <v>2399</v>
      </c>
      <c r="E455" s="42" t="s">
        <v>2400</v>
      </c>
      <c r="F455" s="42"/>
      <c r="G455" s="42">
        <v>22</v>
      </c>
      <c r="H455" s="43">
        <v>2.1</v>
      </c>
      <c r="I455" s="43">
        <f t="shared" si="12"/>
        <v>46.2</v>
      </c>
      <c r="J455" s="42" t="s">
        <v>14</v>
      </c>
      <c r="K455" s="44">
        <v>22</v>
      </c>
    </row>
    <row r="456" spans="1:11" ht="20.100000000000001" customHeight="1">
      <c r="A456" s="41">
        <v>450</v>
      </c>
      <c r="B456" s="42" t="s">
        <v>2401</v>
      </c>
      <c r="C456" s="42">
        <v>40740980</v>
      </c>
      <c r="D456" s="42" t="s">
        <v>2402</v>
      </c>
      <c r="E456" s="42" t="s">
        <v>2403</v>
      </c>
      <c r="F456" s="42" t="s">
        <v>2404</v>
      </c>
      <c r="G456" s="42">
        <v>43</v>
      </c>
      <c r="H456" s="43">
        <v>6.26</v>
      </c>
      <c r="I456" s="43">
        <f t="shared" si="12"/>
        <v>269.18</v>
      </c>
      <c r="J456" s="42" t="s">
        <v>14</v>
      </c>
      <c r="K456" s="44">
        <v>43</v>
      </c>
    </row>
    <row r="457" spans="1:11" ht="20.100000000000001" customHeight="1">
      <c r="A457" s="37">
        <v>451</v>
      </c>
      <c r="B457" s="42" t="s">
        <v>2405</v>
      </c>
      <c r="C457" s="42" t="s">
        <v>2406</v>
      </c>
      <c r="D457" s="42" t="s">
        <v>2407</v>
      </c>
      <c r="E457" s="42" t="s">
        <v>2408</v>
      </c>
      <c r="F457" s="42"/>
      <c r="G457" s="42">
        <v>13</v>
      </c>
      <c r="H457" s="43"/>
      <c r="I457" s="43">
        <f t="shared" si="12"/>
        <v>0</v>
      </c>
      <c r="J457" s="42" t="s">
        <v>14</v>
      </c>
      <c r="K457" s="44">
        <v>13</v>
      </c>
    </row>
    <row r="458" spans="1:11" ht="20.100000000000001" customHeight="1">
      <c r="A458" s="41">
        <v>452</v>
      </c>
      <c r="B458" s="42" t="s">
        <v>2409</v>
      </c>
      <c r="C458" s="42">
        <v>40734583</v>
      </c>
      <c r="D458" s="42" t="s">
        <v>2410</v>
      </c>
      <c r="E458" s="42" t="s">
        <v>2411</v>
      </c>
      <c r="F458" s="42"/>
      <c r="G458" s="42">
        <v>8</v>
      </c>
      <c r="H458" s="43">
        <v>8.85</v>
      </c>
      <c r="I458" s="43">
        <f t="shared" si="12"/>
        <v>70.8</v>
      </c>
      <c r="J458" s="42" t="s">
        <v>14</v>
      </c>
      <c r="K458" s="44">
        <v>8</v>
      </c>
    </row>
    <row r="459" spans="1:11" ht="20.100000000000001" customHeight="1">
      <c r="A459" s="37">
        <v>453</v>
      </c>
      <c r="B459" s="42" t="s">
        <v>2412</v>
      </c>
      <c r="C459" s="42">
        <v>40678838</v>
      </c>
      <c r="D459" s="42" t="s">
        <v>2413</v>
      </c>
      <c r="E459" s="42" t="s">
        <v>2414</v>
      </c>
      <c r="F459" s="42"/>
      <c r="G459" s="42">
        <v>38</v>
      </c>
      <c r="H459" s="43">
        <v>3.5</v>
      </c>
      <c r="I459" s="43">
        <f t="shared" si="12"/>
        <v>133</v>
      </c>
      <c r="J459" s="42" t="s">
        <v>14</v>
      </c>
      <c r="K459" s="44">
        <v>38</v>
      </c>
    </row>
    <row r="460" spans="1:11" ht="20.100000000000001" customHeight="1">
      <c r="A460" s="41">
        <v>454</v>
      </c>
      <c r="B460" s="42" t="s">
        <v>2415</v>
      </c>
      <c r="C460" s="42">
        <v>40734626</v>
      </c>
      <c r="D460" s="42" t="s">
        <v>2416</v>
      </c>
      <c r="E460" s="42" t="s">
        <v>2417</v>
      </c>
      <c r="F460" s="42"/>
      <c r="G460" s="42">
        <v>1836</v>
      </c>
      <c r="H460" s="43">
        <v>0.32</v>
      </c>
      <c r="I460" s="43">
        <f t="shared" si="12"/>
        <v>587.52</v>
      </c>
      <c r="J460" s="42" t="s">
        <v>14</v>
      </c>
      <c r="K460" s="44">
        <v>1836</v>
      </c>
    </row>
    <row r="461" spans="1:11" ht="20.100000000000001" customHeight="1">
      <c r="A461" s="37">
        <v>455</v>
      </c>
      <c r="B461" s="42" t="s">
        <v>2418</v>
      </c>
      <c r="C461" s="42">
        <v>40734614</v>
      </c>
      <c r="D461" s="42" t="s">
        <v>2419</v>
      </c>
      <c r="E461" s="42" t="s">
        <v>2420</v>
      </c>
      <c r="F461" s="42" t="s">
        <v>2421</v>
      </c>
      <c r="G461" s="42">
        <v>73</v>
      </c>
      <c r="H461" s="43">
        <v>19.18</v>
      </c>
      <c r="I461" s="43">
        <f t="shared" si="12"/>
        <v>1400.1399999999999</v>
      </c>
      <c r="J461" s="42" t="s">
        <v>14</v>
      </c>
      <c r="K461" s="44">
        <v>72</v>
      </c>
    </row>
    <row r="462" spans="1:11" ht="20.100000000000001" customHeight="1">
      <c r="A462" s="41">
        <v>456</v>
      </c>
      <c r="B462" s="42" t="s">
        <v>2422</v>
      </c>
      <c r="C462" s="42">
        <v>40734649</v>
      </c>
      <c r="D462" s="42" t="s">
        <v>2423</v>
      </c>
      <c r="E462" s="42" t="s">
        <v>2424</v>
      </c>
      <c r="F462" s="42" t="s">
        <v>2425</v>
      </c>
      <c r="G462" s="42">
        <v>440</v>
      </c>
      <c r="H462" s="43">
        <v>2.27</v>
      </c>
      <c r="I462" s="43">
        <f t="shared" si="12"/>
        <v>998.8</v>
      </c>
      <c r="J462" s="42" t="s">
        <v>14</v>
      </c>
      <c r="K462" s="44">
        <v>440</v>
      </c>
    </row>
    <row r="463" spans="1:11" ht="20.100000000000001" customHeight="1">
      <c r="A463" s="37">
        <v>457</v>
      </c>
      <c r="B463" s="42" t="s">
        <v>2426</v>
      </c>
      <c r="C463" s="42">
        <v>40678849</v>
      </c>
      <c r="D463" s="42" t="s">
        <v>2427</v>
      </c>
      <c r="E463" s="42" t="s">
        <v>2428</v>
      </c>
      <c r="F463" s="42"/>
      <c r="G463" s="42">
        <v>37</v>
      </c>
      <c r="H463" s="43">
        <v>0.51</v>
      </c>
      <c r="I463" s="43">
        <f t="shared" si="12"/>
        <v>18.87</v>
      </c>
      <c r="J463" s="42" t="s">
        <v>14</v>
      </c>
      <c r="K463" s="44">
        <v>37</v>
      </c>
    </row>
    <row r="464" spans="1:11" ht="20.100000000000001" customHeight="1">
      <c r="A464" s="41">
        <v>458</v>
      </c>
      <c r="B464" s="42" t="s">
        <v>2429</v>
      </c>
      <c r="C464" s="42">
        <v>40719826</v>
      </c>
      <c r="D464" s="42" t="s">
        <v>2430</v>
      </c>
      <c r="E464" s="42" t="s">
        <v>2431</v>
      </c>
      <c r="F464" s="42"/>
      <c r="G464" s="42">
        <v>29</v>
      </c>
      <c r="H464" s="43">
        <v>39.36</v>
      </c>
      <c r="I464" s="43">
        <f t="shared" si="12"/>
        <v>1141.44</v>
      </c>
      <c r="J464" s="42" t="s">
        <v>14</v>
      </c>
      <c r="K464" s="44">
        <v>27</v>
      </c>
    </row>
    <row r="465" spans="1:11" ht="20.100000000000001" customHeight="1">
      <c r="A465" s="37">
        <v>459</v>
      </c>
      <c r="B465" s="42" t="s">
        <v>2432</v>
      </c>
      <c r="C465" s="42">
        <v>40678850</v>
      </c>
      <c r="D465" s="42" t="s">
        <v>2433</v>
      </c>
      <c r="E465" s="42" t="s">
        <v>2434</v>
      </c>
      <c r="F465" s="42"/>
      <c r="G465" s="42">
        <v>37</v>
      </c>
      <c r="H465" s="43">
        <v>1.43</v>
      </c>
      <c r="I465" s="43">
        <f t="shared" si="12"/>
        <v>52.91</v>
      </c>
      <c r="J465" s="42" t="s">
        <v>14</v>
      </c>
      <c r="K465" s="44">
        <v>37</v>
      </c>
    </row>
    <row r="466" spans="1:11" ht="20.100000000000001" customHeight="1">
      <c r="A466" s="41">
        <v>460</v>
      </c>
      <c r="B466" s="42" t="s">
        <v>2435</v>
      </c>
      <c r="C466" s="45">
        <v>130100610</v>
      </c>
      <c r="D466" s="45" t="s">
        <v>2289</v>
      </c>
      <c r="E466" s="42"/>
      <c r="F466" s="46"/>
      <c r="G466" s="42">
        <v>49</v>
      </c>
      <c r="H466" s="43">
        <f>VLOOKUP(C466,[1]Sheet4!$B$2:$H$344,7,FALSE)</f>
        <v>11.82</v>
      </c>
      <c r="I466" s="43">
        <f t="shared" si="12"/>
        <v>579.18000000000006</v>
      </c>
      <c r="J466" s="45" t="s">
        <v>14</v>
      </c>
      <c r="K466" s="44">
        <v>49</v>
      </c>
    </row>
    <row r="467" spans="1:11" ht="20.100000000000001" customHeight="1">
      <c r="A467" s="37"/>
      <c r="B467" s="42" t="s">
        <v>3435</v>
      </c>
      <c r="C467" s="45">
        <v>40680119</v>
      </c>
      <c r="D467" s="45"/>
      <c r="E467" s="42"/>
      <c r="F467" s="46"/>
      <c r="G467" s="42">
        <v>61</v>
      </c>
      <c r="H467" s="43"/>
      <c r="I467" s="43"/>
      <c r="J467" s="45"/>
      <c r="K467" s="44">
        <v>61</v>
      </c>
    </row>
    <row r="468" spans="1:11" ht="20.100000000000001" customHeight="1">
      <c r="A468" s="37"/>
      <c r="B468" s="42" t="s">
        <v>3436</v>
      </c>
      <c r="C468" s="45">
        <v>40475256</v>
      </c>
      <c r="D468" s="45"/>
      <c r="E468" s="42"/>
      <c r="F468" s="46"/>
      <c r="G468" s="42">
        <v>44</v>
      </c>
      <c r="H468" s="43"/>
      <c r="I468" s="43"/>
      <c r="J468" s="45"/>
      <c r="K468" s="44">
        <v>44</v>
      </c>
    </row>
    <row r="469" spans="1:11" ht="20.100000000000001" customHeight="1">
      <c r="A469" s="37">
        <v>461</v>
      </c>
      <c r="B469" s="42" t="s">
        <v>2436</v>
      </c>
      <c r="C469" s="42">
        <v>40713904</v>
      </c>
      <c r="D469" s="42" t="s">
        <v>2437</v>
      </c>
      <c r="E469" s="42" t="s">
        <v>2438</v>
      </c>
      <c r="F469" s="42" t="s">
        <v>2281</v>
      </c>
      <c r="G469" s="42">
        <v>17</v>
      </c>
      <c r="H469" s="43">
        <v>23.78</v>
      </c>
      <c r="I469" s="43">
        <f t="shared" si="12"/>
        <v>404.26</v>
      </c>
      <c r="J469" s="42" t="s">
        <v>14</v>
      </c>
      <c r="K469" s="44">
        <v>17</v>
      </c>
    </row>
    <row r="470" spans="1:11" ht="20.100000000000001" customHeight="1">
      <c r="A470" s="41">
        <v>462</v>
      </c>
      <c r="B470" s="42" t="s">
        <v>2439</v>
      </c>
      <c r="C470" s="42">
        <v>40678755</v>
      </c>
      <c r="D470" s="42" t="s">
        <v>2440</v>
      </c>
      <c r="E470" s="42" t="s">
        <v>2441</v>
      </c>
      <c r="F470" s="42"/>
      <c r="G470" s="42">
        <v>24</v>
      </c>
      <c r="H470" s="43">
        <v>5.62</v>
      </c>
      <c r="I470" s="43">
        <f t="shared" si="12"/>
        <v>134.88</v>
      </c>
      <c r="J470" s="42" t="s">
        <v>14</v>
      </c>
      <c r="K470" s="44">
        <v>24</v>
      </c>
    </row>
    <row r="471" spans="1:11" ht="20.100000000000001" customHeight="1">
      <c r="A471" s="37">
        <v>463</v>
      </c>
      <c r="B471" s="42" t="s">
        <v>2442</v>
      </c>
      <c r="C471" s="42">
        <v>40748877</v>
      </c>
      <c r="D471" s="42" t="s">
        <v>2443</v>
      </c>
      <c r="E471" s="42" t="s">
        <v>2444</v>
      </c>
      <c r="F471" s="42"/>
      <c r="G471" s="42">
        <v>196</v>
      </c>
      <c r="H471" s="43">
        <v>0.93</v>
      </c>
      <c r="I471" s="43">
        <f t="shared" si="12"/>
        <v>182.28</v>
      </c>
      <c r="J471" s="42" t="s">
        <v>14</v>
      </c>
      <c r="K471" s="44">
        <v>192</v>
      </c>
    </row>
    <row r="472" spans="1:11" ht="20.100000000000001" customHeight="1">
      <c r="A472" s="41">
        <v>464</v>
      </c>
      <c r="B472" s="42" t="s">
        <v>2445</v>
      </c>
      <c r="C472" s="42">
        <v>40734623</v>
      </c>
      <c r="D472" s="42" t="s">
        <v>2446</v>
      </c>
      <c r="E472" s="42" t="s">
        <v>2447</v>
      </c>
      <c r="F472" s="42" t="s">
        <v>2448</v>
      </c>
      <c r="G472" s="42">
        <v>11</v>
      </c>
      <c r="H472" s="43">
        <v>46.17</v>
      </c>
      <c r="I472" s="43">
        <f t="shared" si="12"/>
        <v>507.87</v>
      </c>
      <c r="J472" s="42" t="s">
        <v>14</v>
      </c>
      <c r="K472" s="44">
        <v>10</v>
      </c>
    </row>
    <row r="473" spans="1:11" ht="20.100000000000001" customHeight="1">
      <c r="A473" s="37">
        <v>465</v>
      </c>
      <c r="B473" s="42" t="s">
        <v>2449</v>
      </c>
      <c r="C473" s="42">
        <v>40248838</v>
      </c>
      <c r="D473" s="42" t="s">
        <v>2450</v>
      </c>
      <c r="E473" s="42" t="s">
        <v>2451</v>
      </c>
      <c r="F473" s="42"/>
      <c r="G473" s="42">
        <v>13</v>
      </c>
      <c r="H473" s="43">
        <v>23.54</v>
      </c>
      <c r="I473" s="43">
        <f t="shared" si="12"/>
        <v>306.02</v>
      </c>
      <c r="J473" s="42" t="s">
        <v>14</v>
      </c>
      <c r="K473" s="44">
        <v>13</v>
      </c>
    </row>
    <row r="474" spans="1:11" ht="20.100000000000001" customHeight="1">
      <c r="A474" s="41">
        <v>466</v>
      </c>
      <c r="B474" s="42" t="s">
        <v>2449</v>
      </c>
      <c r="C474" s="42">
        <v>40678789</v>
      </c>
      <c r="D474" s="42" t="s">
        <v>2452</v>
      </c>
      <c r="E474" s="42" t="s">
        <v>2453</v>
      </c>
      <c r="F474" s="42"/>
      <c r="G474" s="42">
        <v>16</v>
      </c>
      <c r="H474" s="43">
        <v>19.21</v>
      </c>
      <c r="I474" s="43">
        <f t="shared" si="12"/>
        <v>307.36</v>
      </c>
      <c r="J474" s="42" t="s">
        <v>14</v>
      </c>
      <c r="K474" s="44">
        <v>16</v>
      </c>
    </row>
    <row r="475" spans="1:11" ht="20.100000000000001" customHeight="1">
      <c r="A475" s="37">
        <v>467</v>
      </c>
      <c r="B475" s="42" t="s">
        <v>2454</v>
      </c>
      <c r="C475" s="42">
        <v>40734615</v>
      </c>
      <c r="D475" s="42" t="s">
        <v>2455</v>
      </c>
      <c r="E475" s="42" t="s">
        <v>2351</v>
      </c>
      <c r="F475" s="42" t="s">
        <v>2456</v>
      </c>
      <c r="G475" s="42">
        <v>450</v>
      </c>
      <c r="H475" s="43">
        <v>3.22</v>
      </c>
      <c r="I475" s="43">
        <f t="shared" si="12"/>
        <v>1449</v>
      </c>
      <c r="J475" s="42" t="s">
        <v>14</v>
      </c>
      <c r="K475" s="44">
        <v>430</v>
      </c>
    </row>
    <row r="476" spans="1:11" ht="20.100000000000001" customHeight="1">
      <c r="A476" s="41">
        <v>468</v>
      </c>
      <c r="B476" s="42" t="s">
        <v>2457</v>
      </c>
      <c r="C476" s="42">
        <v>40734621</v>
      </c>
      <c r="D476" s="42" t="s">
        <v>2458</v>
      </c>
      <c r="E476" s="42" t="s">
        <v>2459</v>
      </c>
      <c r="F476" s="42" t="s">
        <v>2330</v>
      </c>
      <c r="G476" s="42">
        <v>84</v>
      </c>
      <c r="H476" s="43">
        <v>0.5</v>
      </c>
      <c r="I476" s="43">
        <f t="shared" si="12"/>
        <v>42</v>
      </c>
      <c r="J476" s="42" t="s">
        <v>14</v>
      </c>
      <c r="K476" s="44">
        <v>79</v>
      </c>
    </row>
    <row r="477" spans="1:11" ht="20.100000000000001" customHeight="1">
      <c r="A477" s="37">
        <v>469</v>
      </c>
      <c r="B477" s="42" t="s">
        <v>2460</v>
      </c>
      <c r="C477" s="50">
        <v>40754655</v>
      </c>
      <c r="D477" s="42" t="s">
        <v>2461</v>
      </c>
      <c r="E477" s="42" t="s">
        <v>2462</v>
      </c>
      <c r="F477" s="42" t="s">
        <v>2463</v>
      </c>
      <c r="G477" s="42">
        <v>217</v>
      </c>
      <c r="H477" s="43" t="e">
        <f>VLOOKUP(C477,[1]Sheet4!$B$2:$H$344,7,FALSE)</f>
        <v>#N/A</v>
      </c>
      <c r="I477" s="43" t="e">
        <f t="shared" si="12"/>
        <v>#N/A</v>
      </c>
      <c r="J477" s="42" t="s">
        <v>14</v>
      </c>
      <c r="K477" s="44">
        <v>213</v>
      </c>
    </row>
    <row r="478" spans="1:11" ht="20.100000000000001" customHeight="1">
      <c r="A478" s="41">
        <v>470</v>
      </c>
      <c r="B478" s="42" t="s">
        <v>2464</v>
      </c>
      <c r="C478" s="42">
        <v>40678793</v>
      </c>
      <c r="D478" s="42" t="s">
        <v>2465</v>
      </c>
      <c r="E478" s="42" t="s">
        <v>2466</v>
      </c>
      <c r="F478" s="42" t="s">
        <v>2467</v>
      </c>
      <c r="G478" s="42">
        <v>3</v>
      </c>
      <c r="H478" s="43">
        <v>30.1</v>
      </c>
      <c r="I478" s="43">
        <f t="shared" si="12"/>
        <v>90.300000000000011</v>
      </c>
      <c r="J478" s="42" t="s">
        <v>14</v>
      </c>
      <c r="K478" s="44">
        <v>3</v>
      </c>
    </row>
    <row r="479" spans="1:11" ht="20.100000000000001" customHeight="1">
      <c r="A479" s="37">
        <v>471</v>
      </c>
      <c r="B479" s="42" t="s">
        <v>2468</v>
      </c>
      <c r="C479" s="45" t="s">
        <v>2469</v>
      </c>
      <c r="D479" s="45" t="s">
        <v>2470</v>
      </c>
      <c r="E479" s="42"/>
      <c r="F479" s="46"/>
      <c r="G479" s="42">
        <v>16</v>
      </c>
      <c r="H479" s="43"/>
      <c r="I479" s="43">
        <f t="shared" si="12"/>
        <v>0</v>
      </c>
      <c r="J479" s="45" t="s">
        <v>14</v>
      </c>
      <c r="K479" s="44">
        <v>16</v>
      </c>
    </row>
    <row r="480" spans="1:11" ht="20.100000000000001" customHeight="1">
      <c r="A480" s="41">
        <v>472</v>
      </c>
      <c r="B480" s="42" t="s">
        <v>2471</v>
      </c>
      <c r="C480" s="42">
        <v>40734625</v>
      </c>
      <c r="D480" s="42" t="s">
        <v>2472</v>
      </c>
      <c r="E480" s="42" t="s">
        <v>2473</v>
      </c>
      <c r="F480" s="42"/>
      <c r="G480" s="42">
        <v>100</v>
      </c>
      <c r="H480" s="43">
        <v>0.19</v>
      </c>
      <c r="I480" s="43">
        <f t="shared" si="12"/>
        <v>19</v>
      </c>
      <c r="J480" s="42" t="s">
        <v>14</v>
      </c>
      <c r="K480" s="44">
        <v>100</v>
      </c>
    </row>
    <row r="481" spans="1:11" ht="20.100000000000001" customHeight="1">
      <c r="A481" s="37">
        <v>473</v>
      </c>
      <c r="B481" s="42" t="s">
        <v>2474</v>
      </c>
      <c r="C481" s="42">
        <v>40157859</v>
      </c>
      <c r="D481" s="42" t="s">
        <v>2475</v>
      </c>
      <c r="E481" s="42" t="s">
        <v>2476</v>
      </c>
      <c r="F481" s="42"/>
      <c r="G481" s="42">
        <v>29</v>
      </c>
      <c r="H481" s="43">
        <v>37.57</v>
      </c>
      <c r="I481" s="43">
        <f t="shared" si="12"/>
        <v>1089.53</v>
      </c>
      <c r="J481" s="42" t="s">
        <v>175</v>
      </c>
      <c r="K481" s="44">
        <v>27</v>
      </c>
    </row>
    <row r="482" spans="1:11" ht="20.100000000000001" customHeight="1">
      <c r="A482" s="41">
        <v>474</v>
      </c>
      <c r="B482" s="42" t="s">
        <v>2477</v>
      </c>
      <c r="C482" s="45" t="s">
        <v>2478</v>
      </c>
      <c r="D482" s="45" t="s">
        <v>2479</v>
      </c>
      <c r="E482" s="42"/>
      <c r="F482" s="46"/>
      <c r="G482" s="42">
        <v>5</v>
      </c>
      <c r="H482" s="43"/>
      <c r="I482" s="43">
        <f t="shared" si="12"/>
        <v>0</v>
      </c>
      <c r="J482" s="45" t="s">
        <v>14</v>
      </c>
      <c r="K482" s="44">
        <v>5</v>
      </c>
    </row>
    <row r="483" spans="1:11" ht="20.100000000000001" customHeight="1">
      <c r="A483" s="37">
        <v>475</v>
      </c>
      <c r="B483" s="42" t="s">
        <v>2480</v>
      </c>
      <c r="C483" s="45" t="s">
        <v>2481</v>
      </c>
      <c r="D483" s="45" t="s">
        <v>2482</v>
      </c>
      <c r="E483" s="42"/>
      <c r="F483" s="46"/>
      <c r="G483" s="42">
        <v>6</v>
      </c>
      <c r="H483" s="43"/>
      <c r="I483" s="43">
        <f t="shared" si="12"/>
        <v>0</v>
      </c>
      <c r="J483" s="45" t="s">
        <v>14</v>
      </c>
      <c r="K483" s="44">
        <v>6</v>
      </c>
    </row>
    <row r="484" spans="1:11" ht="20.100000000000001" customHeight="1">
      <c r="A484" s="41">
        <v>476</v>
      </c>
      <c r="B484" s="42" t="s">
        <v>2483</v>
      </c>
      <c r="C484" s="42">
        <v>130900100</v>
      </c>
      <c r="D484" s="42" t="s">
        <v>2484</v>
      </c>
      <c r="E484" s="42" t="s">
        <v>2485</v>
      </c>
      <c r="F484" s="42"/>
      <c r="G484" s="42">
        <v>100</v>
      </c>
      <c r="H484" s="43"/>
      <c r="I484" s="43">
        <f t="shared" si="12"/>
        <v>0</v>
      </c>
      <c r="J484" s="42" t="s">
        <v>14</v>
      </c>
      <c r="K484" s="44">
        <v>100</v>
      </c>
    </row>
    <row r="485" spans="1:11" ht="20.100000000000001" customHeight="1">
      <c r="A485" s="37">
        <v>477</v>
      </c>
      <c r="B485" s="42" t="s">
        <v>2486</v>
      </c>
      <c r="C485" s="42">
        <v>131300522</v>
      </c>
      <c r="D485" s="42" t="s">
        <v>2487</v>
      </c>
      <c r="E485" s="42" t="s">
        <v>2488</v>
      </c>
      <c r="F485" s="42"/>
      <c r="G485" s="42">
        <v>18</v>
      </c>
      <c r="H485" s="43">
        <v>35.5</v>
      </c>
      <c r="I485" s="43">
        <f t="shared" si="12"/>
        <v>639</v>
      </c>
      <c r="J485" s="42" t="s">
        <v>14</v>
      </c>
      <c r="K485" s="44">
        <v>18</v>
      </c>
    </row>
    <row r="486" spans="1:11" ht="20.100000000000001" customHeight="1">
      <c r="A486" s="41">
        <v>478</v>
      </c>
      <c r="B486" s="42" t="s">
        <v>2489</v>
      </c>
      <c r="C486" s="42">
        <v>131300523</v>
      </c>
      <c r="D486" s="42" t="s">
        <v>2490</v>
      </c>
      <c r="E486" s="42" t="s">
        <v>2491</v>
      </c>
      <c r="F486" s="42"/>
      <c r="G486" s="42">
        <v>10</v>
      </c>
      <c r="H486" s="43">
        <v>14.8</v>
      </c>
      <c r="I486" s="43">
        <f t="shared" si="12"/>
        <v>148</v>
      </c>
      <c r="J486" s="42" t="s">
        <v>14</v>
      </c>
      <c r="K486" s="44">
        <v>10</v>
      </c>
    </row>
    <row r="487" spans="1:11" ht="20.100000000000001" customHeight="1">
      <c r="A487" s="37">
        <v>479</v>
      </c>
      <c r="B487" s="42" t="s">
        <v>2492</v>
      </c>
      <c r="C487" s="42">
        <v>131300524</v>
      </c>
      <c r="D487" s="42" t="s">
        <v>2493</v>
      </c>
      <c r="E487" s="42" t="s">
        <v>2494</v>
      </c>
      <c r="F487" s="42"/>
      <c r="G487" s="42">
        <v>7</v>
      </c>
      <c r="H487" s="43">
        <v>11.6</v>
      </c>
      <c r="I487" s="43">
        <f t="shared" si="12"/>
        <v>81.2</v>
      </c>
      <c r="J487" s="42" t="s">
        <v>14</v>
      </c>
      <c r="K487" s="44">
        <v>7</v>
      </c>
    </row>
    <row r="488" spans="1:11" ht="20.100000000000001" customHeight="1">
      <c r="A488" s="41">
        <v>480</v>
      </c>
      <c r="B488" s="42" t="s">
        <v>2495</v>
      </c>
      <c r="C488" s="45">
        <v>40151235</v>
      </c>
      <c r="D488" s="45" t="s">
        <v>2496</v>
      </c>
      <c r="E488" s="42"/>
      <c r="F488" s="46"/>
      <c r="G488" s="42">
        <v>80</v>
      </c>
      <c r="H488" s="43"/>
      <c r="I488" s="43">
        <f t="shared" si="12"/>
        <v>0</v>
      </c>
      <c r="J488" s="45" t="s">
        <v>14</v>
      </c>
      <c r="K488" s="44">
        <v>80</v>
      </c>
    </row>
    <row r="489" spans="1:11" ht="20.100000000000001" customHeight="1">
      <c r="A489" s="37">
        <v>481</v>
      </c>
      <c r="B489" s="42" t="s">
        <v>2497</v>
      </c>
      <c r="C489" s="45">
        <v>40734610</v>
      </c>
      <c r="D489" s="45" t="s">
        <v>2387</v>
      </c>
      <c r="E489" s="42"/>
      <c r="F489" s="46"/>
      <c r="G489" s="42">
        <v>8</v>
      </c>
      <c r="H489" s="47">
        <v>87.44</v>
      </c>
      <c r="I489" s="47">
        <f t="shared" si="12"/>
        <v>699.52</v>
      </c>
      <c r="J489" s="45" t="s">
        <v>14</v>
      </c>
      <c r="K489" s="44">
        <v>8</v>
      </c>
    </row>
    <row r="490" spans="1:11" ht="20.100000000000001" customHeight="1">
      <c r="A490" s="41">
        <v>482</v>
      </c>
      <c r="B490" s="42" t="s">
        <v>2498</v>
      </c>
      <c r="C490" s="45">
        <v>40734609</v>
      </c>
      <c r="D490" s="45" t="s">
        <v>2499</v>
      </c>
      <c r="E490" s="42"/>
      <c r="F490" s="46"/>
      <c r="G490" s="42">
        <v>8</v>
      </c>
      <c r="H490" s="47">
        <v>97.49</v>
      </c>
      <c r="I490" s="47">
        <f t="shared" si="12"/>
        <v>779.92</v>
      </c>
      <c r="J490" s="45" t="s">
        <v>14</v>
      </c>
      <c r="K490" s="44">
        <v>8</v>
      </c>
    </row>
    <row r="491" spans="1:11" ht="20.100000000000001" customHeight="1">
      <c r="A491" s="37">
        <v>483</v>
      </c>
      <c r="B491" s="42" t="s">
        <v>2500</v>
      </c>
      <c r="C491" s="42" t="s">
        <v>2501</v>
      </c>
      <c r="D491" s="42" t="s">
        <v>2502</v>
      </c>
      <c r="E491" s="42" t="s">
        <v>2503</v>
      </c>
      <c r="F491" s="42" t="s">
        <v>2404</v>
      </c>
      <c r="G491" s="42">
        <v>2</v>
      </c>
      <c r="H491" s="43"/>
      <c r="I491" s="43">
        <f t="shared" si="12"/>
        <v>0</v>
      </c>
      <c r="J491" s="42" t="s">
        <v>14</v>
      </c>
      <c r="K491" s="44">
        <v>2</v>
      </c>
    </row>
    <row r="492" spans="1:11" ht="20.100000000000001" customHeight="1">
      <c r="A492" s="41">
        <v>484</v>
      </c>
      <c r="B492" s="42" t="s">
        <v>2504</v>
      </c>
      <c r="C492" s="42">
        <v>40734582</v>
      </c>
      <c r="D492" s="42" t="s">
        <v>2505</v>
      </c>
      <c r="E492" s="42" t="s">
        <v>2506</v>
      </c>
      <c r="F492" s="42"/>
      <c r="G492" s="42">
        <v>1</v>
      </c>
      <c r="H492" s="43">
        <v>10.58</v>
      </c>
      <c r="I492" s="43">
        <f t="shared" si="12"/>
        <v>10.58</v>
      </c>
      <c r="J492" s="42" t="s">
        <v>14</v>
      </c>
      <c r="K492" s="44">
        <v>1</v>
      </c>
    </row>
    <row r="493" spans="1:11" ht="20.100000000000001" customHeight="1">
      <c r="A493" s="37">
        <v>485</v>
      </c>
      <c r="B493" s="42" t="s">
        <v>2507</v>
      </c>
      <c r="C493" s="45" t="s">
        <v>2508</v>
      </c>
      <c r="D493" s="45" t="s">
        <v>2509</v>
      </c>
      <c r="E493" s="42"/>
      <c r="F493" s="46"/>
      <c r="G493" s="42">
        <v>2</v>
      </c>
      <c r="H493" s="43"/>
      <c r="I493" s="43">
        <f t="shared" si="12"/>
        <v>0</v>
      </c>
      <c r="J493" s="45" t="s">
        <v>14</v>
      </c>
      <c r="K493" s="44">
        <v>1</v>
      </c>
    </row>
    <row r="494" spans="1:11" ht="20.100000000000001" customHeight="1">
      <c r="A494" s="41">
        <v>486</v>
      </c>
      <c r="B494" s="42" t="s">
        <v>2510</v>
      </c>
      <c r="C494" s="42">
        <v>40164729</v>
      </c>
      <c r="D494" s="42" t="s">
        <v>2511</v>
      </c>
      <c r="E494" s="42" t="s">
        <v>2512</v>
      </c>
      <c r="F494" s="42"/>
      <c r="G494" s="42">
        <v>18</v>
      </c>
      <c r="H494" s="43">
        <v>20.87</v>
      </c>
      <c r="I494" s="43">
        <f t="shared" si="12"/>
        <v>375.66</v>
      </c>
      <c r="J494" s="42" t="s">
        <v>14</v>
      </c>
      <c r="K494" s="44">
        <v>17</v>
      </c>
    </row>
    <row r="495" spans="1:11" ht="20.100000000000001" customHeight="1">
      <c r="A495" s="37">
        <v>487</v>
      </c>
      <c r="B495" s="42" t="s">
        <v>2513</v>
      </c>
      <c r="C495" s="42">
        <v>40255096</v>
      </c>
      <c r="D495" s="42" t="s">
        <v>2514</v>
      </c>
      <c r="E495" s="42" t="s">
        <v>2515</v>
      </c>
      <c r="F495" s="42"/>
      <c r="G495" s="42">
        <v>8</v>
      </c>
      <c r="H495" s="43">
        <v>13.8</v>
      </c>
      <c r="I495" s="43">
        <f t="shared" si="12"/>
        <v>110.4</v>
      </c>
      <c r="J495" s="42" t="s">
        <v>14</v>
      </c>
      <c r="K495" s="44">
        <v>8</v>
      </c>
    </row>
    <row r="496" spans="1:11" ht="20.100000000000001" customHeight="1">
      <c r="A496" s="41">
        <v>488</v>
      </c>
      <c r="B496" s="42" t="s">
        <v>2516</v>
      </c>
      <c r="C496" s="45" t="s">
        <v>2517</v>
      </c>
      <c r="D496" s="45" t="s">
        <v>2518</v>
      </c>
      <c r="E496" s="42"/>
      <c r="F496" s="46"/>
      <c r="G496" s="42">
        <v>2</v>
      </c>
      <c r="H496" s="47"/>
      <c r="I496" s="47"/>
      <c r="J496" s="45" t="s">
        <v>14</v>
      </c>
      <c r="K496" s="44">
        <v>2</v>
      </c>
    </row>
    <row r="497" spans="1:11" ht="20.100000000000001" customHeight="1">
      <c r="A497" s="37">
        <v>489</v>
      </c>
      <c r="B497" s="42" t="s">
        <v>2519</v>
      </c>
      <c r="C497" s="45">
        <v>40734588</v>
      </c>
      <c r="D497" s="45" t="s">
        <v>2520</v>
      </c>
      <c r="E497" s="42"/>
      <c r="F497" s="46"/>
      <c r="G497" s="42">
        <v>15</v>
      </c>
      <c r="H497" s="47">
        <v>51.66</v>
      </c>
      <c r="I497" s="47">
        <f t="shared" ref="I497:I503" si="13">H497*G497</f>
        <v>774.9</v>
      </c>
      <c r="J497" s="45" t="s">
        <v>14</v>
      </c>
      <c r="K497" s="44">
        <v>15</v>
      </c>
    </row>
    <row r="498" spans="1:11" ht="20.100000000000001" customHeight="1">
      <c r="A498" s="41">
        <v>490</v>
      </c>
      <c r="B498" s="42" t="s">
        <v>2521</v>
      </c>
      <c r="C498" s="45">
        <v>40418818</v>
      </c>
      <c r="D498" s="45" t="s">
        <v>2522</v>
      </c>
      <c r="E498" s="42"/>
      <c r="F498" s="46"/>
      <c r="G498" s="42">
        <v>48</v>
      </c>
      <c r="H498" s="47">
        <v>22.14</v>
      </c>
      <c r="I498" s="47">
        <f t="shared" si="13"/>
        <v>1062.72</v>
      </c>
      <c r="J498" s="45" t="s">
        <v>14</v>
      </c>
      <c r="K498" s="44">
        <v>48</v>
      </c>
    </row>
    <row r="499" spans="1:11" ht="20.100000000000001" customHeight="1">
      <c r="A499" s="37">
        <v>491</v>
      </c>
      <c r="B499" s="42" t="s">
        <v>2523</v>
      </c>
      <c r="C499" s="45" t="s">
        <v>2524</v>
      </c>
      <c r="D499" s="45" t="s">
        <v>2525</v>
      </c>
      <c r="E499" s="42"/>
      <c r="F499" s="46"/>
      <c r="G499" s="42">
        <v>1</v>
      </c>
      <c r="H499" s="47"/>
      <c r="I499" s="47"/>
      <c r="J499" s="45" t="s">
        <v>14</v>
      </c>
      <c r="K499" s="44">
        <v>1</v>
      </c>
    </row>
    <row r="500" spans="1:11" ht="20.100000000000001" customHeight="1">
      <c r="A500" s="41">
        <v>492</v>
      </c>
      <c r="B500" s="42" t="s">
        <v>2526</v>
      </c>
      <c r="C500" s="45" t="s">
        <v>2527</v>
      </c>
      <c r="D500" s="45" t="s">
        <v>2528</v>
      </c>
      <c r="E500" s="42"/>
      <c r="F500" s="46"/>
      <c r="G500" s="42">
        <v>25</v>
      </c>
      <c r="H500" s="43"/>
      <c r="I500" s="43">
        <f t="shared" si="13"/>
        <v>0</v>
      </c>
      <c r="J500" s="45" t="s">
        <v>14</v>
      </c>
      <c r="K500" s="44">
        <v>24</v>
      </c>
    </row>
    <row r="501" spans="1:11" ht="20.100000000000001" customHeight="1">
      <c r="A501" s="37">
        <v>493</v>
      </c>
      <c r="B501" s="42" t="s">
        <v>2529</v>
      </c>
      <c r="C501" s="45" t="s">
        <v>2530</v>
      </c>
      <c r="D501" s="45" t="s">
        <v>2531</v>
      </c>
      <c r="E501" s="42"/>
      <c r="F501" s="46"/>
      <c r="G501" s="42">
        <v>43</v>
      </c>
      <c r="H501" s="43"/>
      <c r="I501" s="43">
        <f t="shared" si="13"/>
        <v>0</v>
      </c>
      <c r="J501" s="45" t="s">
        <v>14</v>
      </c>
      <c r="K501" s="44">
        <v>43</v>
      </c>
    </row>
    <row r="502" spans="1:11" ht="20.100000000000001" customHeight="1">
      <c r="A502" s="41">
        <v>494</v>
      </c>
      <c r="B502" s="42" t="s">
        <v>2532</v>
      </c>
      <c r="C502" s="45" t="s">
        <v>2533</v>
      </c>
      <c r="D502" s="45" t="s">
        <v>2534</v>
      </c>
      <c r="E502" s="42"/>
      <c r="F502" s="46"/>
      <c r="G502" s="42">
        <v>8</v>
      </c>
      <c r="H502" s="43"/>
      <c r="I502" s="43">
        <f t="shared" si="13"/>
        <v>0</v>
      </c>
      <c r="J502" s="45" t="s">
        <v>14</v>
      </c>
      <c r="K502" s="44">
        <v>8</v>
      </c>
    </row>
    <row r="503" spans="1:11" ht="20.100000000000001" customHeight="1">
      <c r="A503" s="37">
        <v>495</v>
      </c>
      <c r="B503" s="42" t="s">
        <v>2535</v>
      </c>
      <c r="C503" s="45" t="s">
        <v>2536</v>
      </c>
      <c r="D503" s="45" t="s">
        <v>2537</v>
      </c>
      <c r="E503" s="42"/>
      <c r="F503" s="46"/>
      <c r="G503" s="42">
        <v>21</v>
      </c>
      <c r="H503" s="43"/>
      <c r="I503" s="43">
        <f t="shared" si="13"/>
        <v>0</v>
      </c>
      <c r="J503" s="45" t="s">
        <v>14</v>
      </c>
      <c r="K503" s="44">
        <v>21</v>
      </c>
    </row>
    <row r="504" spans="1:11" ht="20.100000000000001" customHeight="1">
      <c r="A504" s="41">
        <v>496</v>
      </c>
      <c r="B504" s="42" t="s">
        <v>2538</v>
      </c>
      <c r="C504" s="45" t="s">
        <v>2539</v>
      </c>
      <c r="D504" s="45" t="s">
        <v>2540</v>
      </c>
      <c r="E504" s="42"/>
      <c r="F504" s="46"/>
      <c r="G504" s="42">
        <v>1</v>
      </c>
      <c r="H504" s="47"/>
      <c r="I504" s="47"/>
      <c r="J504" s="45" t="s">
        <v>14</v>
      </c>
      <c r="K504" s="44">
        <v>1</v>
      </c>
    </row>
    <row r="505" spans="1:11" ht="20.100000000000001" customHeight="1">
      <c r="A505" s="37">
        <v>497</v>
      </c>
      <c r="B505" s="42" t="s">
        <v>2541</v>
      </c>
      <c r="C505" s="45" t="s">
        <v>2542</v>
      </c>
      <c r="D505" s="45" t="s">
        <v>2543</v>
      </c>
      <c r="E505" s="42"/>
      <c r="F505" s="46"/>
      <c r="G505" s="42">
        <v>3</v>
      </c>
      <c r="H505" s="47"/>
      <c r="I505" s="47"/>
      <c r="J505" s="45" t="s">
        <v>14</v>
      </c>
      <c r="K505" s="44">
        <v>3</v>
      </c>
    </row>
    <row r="506" spans="1:11" ht="20.100000000000001" customHeight="1">
      <c r="A506" s="41">
        <v>498</v>
      </c>
      <c r="B506" s="42" t="s">
        <v>2544</v>
      </c>
      <c r="C506" s="45" t="s">
        <v>2545</v>
      </c>
      <c r="D506" s="45" t="s">
        <v>2546</v>
      </c>
      <c r="E506" s="42"/>
      <c r="F506" s="46"/>
      <c r="G506" s="42">
        <v>6</v>
      </c>
      <c r="H506" s="47"/>
      <c r="I506" s="47"/>
      <c r="J506" s="45" t="s">
        <v>14</v>
      </c>
      <c r="K506" s="44">
        <v>6</v>
      </c>
    </row>
    <row r="507" spans="1:11" ht="20.100000000000001" customHeight="1">
      <c r="A507" s="37">
        <v>499</v>
      </c>
      <c r="B507" s="42" t="s">
        <v>2547</v>
      </c>
      <c r="C507" s="45" t="s">
        <v>2548</v>
      </c>
      <c r="D507" s="45" t="s">
        <v>2549</v>
      </c>
      <c r="E507" s="42"/>
      <c r="F507" s="46"/>
      <c r="G507" s="42">
        <v>7</v>
      </c>
      <c r="H507" s="47"/>
      <c r="I507" s="47"/>
      <c r="J507" s="45" t="s">
        <v>14</v>
      </c>
      <c r="K507" s="44">
        <v>7</v>
      </c>
    </row>
    <row r="508" spans="1:11" ht="20.100000000000001" customHeight="1">
      <c r="A508" s="41">
        <v>500</v>
      </c>
      <c r="B508" s="42" t="s">
        <v>2550</v>
      </c>
      <c r="C508" s="45" t="s">
        <v>2551</v>
      </c>
      <c r="D508" s="45" t="s">
        <v>2552</v>
      </c>
      <c r="E508" s="42"/>
      <c r="F508" s="46"/>
      <c r="G508" s="42">
        <v>8</v>
      </c>
      <c r="H508" s="47"/>
      <c r="I508" s="47"/>
      <c r="J508" s="45" t="s">
        <v>14</v>
      </c>
      <c r="K508" s="44">
        <v>8</v>
      </c>
    </row>
    <row r="509" spans="1:11" ht="20.100000000000001" customHeight="1">
      <c r="A509" s="37">
        <v>501</v>
      </c>
      <c r="B509" s="42" t="s">
        <v>2553</v>
      </c>
      <c r="C509" s="42">
        <v>40683179</v>
      </c>
      <c r="D509" s="42" t="s">
        <v>2554</v>
      </c>
      <c r="E509" s="42" t="s">
        <v>2555</v>
      </c>
      <c r="F509" s="42"/>
      <c r="G509" s="42">
        <v>8</v>
      </c>
      <c r="H509" s="43">
        <v>76.56</v>
      </c>
      <c r="I509" s="43">
        <f t="shared" ref="I509:I570" si="14">H509*G509</f>
        <v>612.48</v>
      </c>
      <c r="J509" s="42" t="s">
        <v>14</v>
      </c>
      <c r="K509" s="44">
        <v>4</v>
      </c>
    </row>
    <row r="510" spans="1:11" ht="20.100000000000001" customHeight="1">
      <c r="A510" s="41">
        <v>502</v>
      </c>
      <c r="B510" s="42" t="s">
        <v>2556</v>
      </c>
      <c r="C510" s="42">
        <v>40683252</v>
      </c>
      <c r="D510" s="42" t="s">
        <v>2557</v>
      </c>
      <c r="E510" s="42" t="s">
        <v>2558</v>
      </c>
      <c r="F510" s="42"/>
      <c r="G510" s="42">
        <v>5</v>
      </c>
      <c r="H510" s="43">
        <v>184.03</v>
      </c>
      <c r="I510" s="43">
        <f t="shared" si="14"/>
        <v>920.15</v>
      </c>
      <c r="J510" s="42" t="s">
        <v>14</v>
      </c>
      <c r="K510" s="44">
        <v>5</v>
      </c>
    </row>
    <row r="511" spans="1:11" ht="20.100000000000001" customHeight="1">
      <c r="A511" s="37">
        <v>503</v>
      </c>
      <c r="B511" s="42" t="s">
        <v>2559</v>
      </c>
      <c r="C511" s="50">
        <v>40697380</v>
      </c>
      <c r="D511" s="42"/>
      <c r="E511" s="42"/>
      <c r="F511" s="42"/>
      <c r="G511" s="42">
        <v>2</v>
      </c>
      <c r="H511" s="43" t="e">
        <f>VLOOKUP(C511,[1]Sheet4!$B$2:$H$344,7,FALSE)</f>
        <v>#N/A</v>
      </c>
      <c r="I511" s="43" t="e">
        <f t="shared" si="14"/>
        <v>#N/A</v>
      </c>
      <c r="J511" s="42" t="s">
        <v>59</v>
      </c>
      <c r="K511" s="44">
        <v>2</v>
      </c>
    </row>
    <row r="512" spans="1:11" ht="20.100000000000001" customHeight="1">
      <c r="A512" s="41">
        <v>504</v>
      </c>
      <c r="B512" s="42" t="s">
        <v>2560</v>
      </c>
      <c r="C512" s="42" t="s">
        <v>2561</v>
      </c>
      <c r="D512" s="52" t="s">
        <v>2562</v>
      </c>
      <c r="E512" s="42" t="s">
        <v>2563</v>
      </c>
      <c r="F512" s="42"/>
      <c r="G512" s="42">
        <v>8</v>
      </c>
      <c r="H512" s="43"/>
      <c r="I512" s="43">
        <f t="shared" si="14"/>
        <v>0</v>
      </c>
      <c r="J512" s="42" t="s">
        <v>14</v>
      </c>
      <c r="K512" s="44">
        <v>8</v>
      </c>
    </row>
    <row r="513" spans="1:11" ht="20.100000000000001" customHeight="1">
      <c r="A513" s="37">
        <v>505</v>
      </c>
      <c r="B513" s="42" t="s">
        <v>2564</v>
      </c>
      <c r="C513" s="42">
        <v>131100490</v>
      </c>
      <c r="D513" s="42" t="s">
        <v>2565</v>
      </c>
      <c r="E513" s="42" t="s">
        <v>2566</v>
      </c>
      <c r="F513" s="42"/>
      <c r="G513" s="42">
        <v>732</v>
      </c>
      <c r="H513" s="43">
        <f>VLOOKUP(C513,[1]Sheet4!$B$2:$H$344,7,FALSE)</f>
        <v>0.86</v>
      </c>
      <c r="I513" s="43">
        <f t="shared" si="14"/>
        <v>629.52</v>
      </c>
      <c r="J513" s="42" t="s">
        <v>14</v>
      </c>
      <c r="K513" s="44">
        <v>721</v>
      </c>
    </row>
    <row r="514" spans="1:11" ht="20.100000000000001" customHeight="1">
      <c r="A514" s="41">
        <v>506</v>
      </c>
      <c r="B514" s="42" t="s">
        <v>2567</v>
      </c>
      <c r="C514" s="42" t="s">
        <v>2568</v>
      </c>
      <c r="D514" s="42" t="s">
        <v>2569</v>
      </c>
      <c r="E514" s="42" t="s">
        <v>2570</v>
      </c>
      <c r="F514" s="42"/>
      <c r="G514" s="42">
        <v>79</v>
      </c>
      <c r="H514" s="43"/>
      <c r="I514" s="43">
        <f t="shared" si="14"/>
        <v>0</v>
      </c>
      <c r="J514" s="42" t="s">
        <v>14</v>
      </c>
      <c r="K514" s="44">
        <v>77</v>
      </c>
    </row>
    <row r="515" spans="1:11" ht="20.100000000000001" customHeight="1">
      <c r="A515" s="37">
        <v>507</v>
      </c>
      <c r="B515" s="42" t="s">
        <v>2571</v>
      </c>
      <c r="C515" s="42">
        <v>40154808</v>
      </c>
      <c r="D515" s="42" t="s">
        <v>2572</v>
      </c>
      <c r="E515" s="42" t="s">
        <v>2573</v>
      </c>
      <c r="F515" s="42"/>
      <c r="G515" s="42">
        <v>37</v>
      </c>
      <c r="H515" s="43">
        <f>VLOOKUP(C515,[1]Sheet4!$B$2:$H$344,7,FALSE)</f>
        <v>192.43</v>
      </c>
      <c r="I515" s="43">
        <f t="shared" si="14"/>
        <v>7119.91</v>
      </c>
      <c r="J515" s="42" t="s">
        <v>14</v>
      </c>
      <c r="K515" s="44">
        <v>35</v>
      </c>
    </row>
    <row r="516" spans="1:11" ht="20.100000000000001" customHeight="1">
      <c r="A516" s="41">
        <v>508</v>
      </c>
      <c r="B516" s="42" t="s">
        <v>2574</v>
      </c>
      <c r="C516" s="42" t="s">
        <v>2575</v>
      </c>
      <c r="D516" s="42" t="s">
        <v>2576</v>
      </c>
      <c r="E516" s="42" t="s">
        <v>2577</v>
      </c>
      <c r="F516" s="42"/>
      <c r="G516" s="42">
        <v>4</v>
      </c>
      <c r="H516" s="43"/>
      <c r="I516" s="43">
        <f t="shared" si="14"/>
        <v>0</v>
      </c>
      <c r="J516" s="42" t="s">
        <v>59</v>
      </c>
      <c r="K516" s="44">
        <v>4</v>
      </c>
    </row>
    <row r="517" spans="1:11" ht="20.100000000000001" customHeight="1">
      <c r="A517" s="37">
        <v>509</v>
      </c>
      <c r="B517" s="42" t="s">
        <v>2578</v>
      </c>
      <c r="C517" s="42">
        <v>40742366</v>
      </c>
      <c r="D517" s="42" t="s">
        <v>2579</v>
      </c>
      <c r="E517" s="42" t="s">
        <v>2580</v>
      </c>
      <c r="F517" s="42" t="s">
        <v>2581</v>
      </c>
      <c r="G517" s="42">
        <v>3</v>
      </c>
      <c r="H517" s="43">
        <f>VLOOKUP(C517,[1]Sheet4!$B$2:$H$344,7,FALSE)</f>
        <v>3216.65</v>
      </c>
      <c r="I517" s="43">
        <f t="shared" si="14"/>
        <v>9649.9500000000007</v>
      </c>
      <c r="J517" s="42" t="s">
        <v>14</v>
      </c>
      <c r="K517" s="44">
        <v>3</v>
      </c>
    </row>
    <row r="518" spans="1:11" ht="20.100000000000001" customHeight="1">
      <c r="A518" s="41">
        <v>510</v>
      </c>
      <c r="B518" s="42" t="s">
        <v>2582</v>
      </c>
      <c r="C518" s="42">
        <v>40779838</v>
      </c>
      <c r="D518" s="42" t="s">
        <v>2583</v>
      </c>
      <c r="E518" s="42" t="s">
        <v>2584</v>
      </c>
      <c r="F518" s="42"/>
      <c r="G518" s="42">
        <v>6</v>
      </c>
      <c r="H518" s="43">
        <f>VLOOKUP(C518,[1]Sheet4!$B$2:$H$344,7,FALSE)</f>
        <v>179.99</v>
      </c>
      <c r="I518" s="43">
        <f t="shared" si="14"/>
        <v>1079.94</v>
      </c>
      <c r="J518" s="42" t="s">
        <v>14</v>
      </c>
      <c r="K518" s="44">
        <v>3</v>
      </c>
    </row>
    <row r="519" spans="1:11" ht="20.100000000000001" customHeight="1">
      <c r="A519" s="37">
        <v>511</v>
      </c>
      <c r="B519" s="42" t="s">
        <v>2585</v>
      </c>
      <c r="C519" s="42" t="s">
        <v>2586</v>
      </c>
      <c r="D519" s="42" t="s">
        <v>2587</v>
      </c>
      <c r="E519" s="42" t="s">
        <v>2588</v>
      </c>
      <c r="F519" s="42"/>
      <c r="G519" s="42">
        <v>4</v>
      </c>
      <c r="H519" s="43"/>
      <c r="I519" s="43">
        <f t="shared" si="14"/>
        <v>0</v>
      </c>
      <c r="J519" s="42" t="s">
        <v>14</v>
      </c>
      <c r="K519" s="44">
        <v>4</v>
      </c>
    </row>
    <row r="520" spans="1:11" ht="20.100000000000001" customHeight="1">
      <c r="A520" s="41">
        <v>512</v>
      </c>
      <c r="B520" s="42" t="s">
        <v>2589</v>
      </c>
      <c r="C520" s="42">
        <v>40703997</v>
      </c>
      <c r="D520" s="42" t="s">
        <v>2590</v>
      </c>
      <c r="E520" s="42" t="s">
        <v>2590</v>
      </c>
      <c r="F520" s="42"/>
      <c r="G520" s="42">
        <v>1</v>
      </c>
      <c r="H520" s="43">
        <f>VLOOKUP(C520,[1]Sheet4!$B$2:$H$344,7,FALSE)</f>
        <v>138.38999999999999</v>
      </c>
      <c r="I520" s="43">
        <f t="shared" si="14"/>
        <v>138.38999999999999</v>
      </c>
      <c r="J520" s="42" t="s">
        <v>14</v>
      </c>
      <c r="K520" s="44">
        <v>1</v>
      </c>
    </row>
    <row r="521" spans="1:11" ht="20.100000000000001" customHeight="1">
      <c r="A521" s="37">
        <v>513</v>
      </c>
      <c r="B521" s="42" t="s">
        <v>2591</v>
      </c>
      <c r="C521" s="42">
        <v>40691015</v>
      </c>
      <c r="D521" s="42" t="s">
        <v>2592</v>
      </c>
      <c r="E521" s="42" t="s">
        <v>2593</v>
      </c>
      <c r="F521" s="42"/>
      <c r="G521" s="42">
        <v>1</v>
      </c>
      <c r="H521" s="43">
        <f>VLOOKUP(C521,[1]Sheet4!$B$2:$H$344,7,FALSE)</f>
        <v>4960.13</v>
      </c>
      <c r="I521" s="43">
        <f t="shared" si="14"/>
        <v>4960.13</v>
      </c>
      <c r="J521" s="42" t="s">
        <v>14</v>
      </c>
      <c r="K521" s="44">
        <v>1</v>
      </c>
    </row>
    <row r="522" spans="1:11" ht="20.100000000000001" customHeight="1">
      <c r="A522" s="41">
        <v>514</v>
      </c>
      <c r="B522" s="42" t="s">
        <v>2591</v>
      </c>
      <c r="C522" s="42" t="s">
        <v>2594</v>
      </c>
      <c r="D522" s="42" t="s">
        <v>2595</v>
      </c>
      <c r="E522" s="42" t="s">
        <v>2156</v>
      </c>
      <c r="F522" s="42" t="s">
        <v>2596</v>
      </c>
      <c r="G522" s="42">
        <v>9</v>
      </c>
      <c r="H522" s="43"/>
      <c r="I522" s="43">
        <f t="shared" si="14"/>
        <v>0</v>
      </c>
      <c r="J522" s="42" t="s">
        <v>14</v>
      </c>
      <c r="K522" s="44">
        <v>9</v>
      </c>
    </row>
    <row r="523" spans="1:11" ht="20.100000000000001" customHeight="1">
      <c r="A523" s="37">
        <v>515</v>
      </c>
      <c r="B523" s="42" t="s">
        <v>2597</v>
      </c>
      <c r="C523" s="42">
        <v>40696981</v>
      </c>
      <c r="D523" s="42" t="s">
        <v>2598</v>
      </c>
      <c r="E523" s="42" t="s">
        <v>2599</v>
      </c>
      <c r="F523" s="42"/>
      <c r="G523" s="42">
        <v>2</v>
      </c>
      <c r="H523" s="43">
        <f>VLOOKUP(C523,[1]Sheet4!$B$2:$H$344,7,FALSE)</f>
        <v>340.4</v>
      </c>
      <c r="I523" s="43">
        <f t="shared" si="14"/>
        <v>680.8</v>
      </c>
      <c r="J523" s="42" t="s">
        <v>14</v>
      </c>
      <c r="K523" s="44">
        <v>2</v>
      </c>
    </row>
    <row r="524" spans="1:11" ht="20.100000000000001" customHeight="1">
      <c r="A524" s="41">
        <v>516</v>
      </c>
      <c r="B524" s="42" t="s">
        <v>2597</v>
      </c>
      <c r="C524" s="42">
        <v>40694918</v>
      </c>
      <c r="D524" s="42" t="s">
        <v>2600</v>
      </c>
      <c r="E524" s="42" t="s">
        <v>2601</v>
      </c>
      <c r="F524" s="42"/>
      <c r="G524" s="42">
        <v>2</v>
      </c>
      <c r="H524" s="43">
        <f>VLOOKUP(C524,[1]Sheet4!$B$2:$H$344,7,FALSE)</f>
        <v>26.11</v>
      </c>
      <c r="I524" s="43">
        <f t="shared" si="14"/>
        <v>52.22</v>
      </c>
      <c r="J524" s="42" t="s">
        <v>14</v>
      </c>
      <c r="K524" s="44">
        <v>2</v>
      </c>
    </row>
    <row r="525" spans="1:11" ht="20.100000000000001" customHeight="1">
      <c r="A525" s="37">
        <v>517</v>
      </c>
      <c r="B525" s="42" t="s">
        <v>2602</v>
      </c>
      <c r="C525" s="42">
        <v>40691792</v>
      </c>
      <c r="D525" s="42" t="s">
        <v>2603</v>
      </c>
      <c r="E525" s="42" t="s">
        <v>2604</v>
      </c>
      <c r="F525" s="42"/>
      <c r="G525" s="42">
        <v>3</v>
      </c>
      <c r="H525" s="43">
        <f>VLOOKUP(C525,[1]Sheet4!$B$2:$H$344,7,FALSE)</f>
        <v>38.35</v>
      </c>
      <c r="I525" s="43">
        <f t="shared" si="14"/>
        <v>115.05000000000001</v>
      </c>
      <c r="J525" s="42" t="s">
        <v>14</v>
      </c>
      <c r="K525" s="44">
        <v>3</v>
      </c>
    </row>
    <row r="526" spans="1:11" ht="20.100000000000001" customHeight="1">
      <c r="A526" s="41">
        <v>518</v>
      </c>
      <c r="B526" s="42" t="s">
        <v>2602</v>
      </c>
      <c r="C526" s="42">
        <v>40725326</v>
      </c>
      <c r="D526" s="42" t="s">
        <v>2605</v>
      </c>
      <c r="E526" s="42" t="s">
        <v>2606</v>
      </c>
      <c r="F526" s="42"/>
      <c r="G526" s="42">
        <v>2</v>
      </c>
      <c r="H526" s="43">
        <f>VLOOKUP(C526,[1]Sheet4!$B$2:$H$344,7,FALSE)</f>
        <v>221.92</v>
      </c>
      <c r="I526" s="43">
        <f t="shared" si="14"/>
        <v>443.84</v>
      </c>
      <c r="J526" s="42" t="s">
        <v>14</v>
      </c>
      <c r="K526" s="44">
        <v>2</v>
      </c>
    </row>
    <row r="527" spans="1:11" ht="20.100000000000001" customHeight="1">
      <c r="A527" s="37">
        <v>519</v>
      </c>
      <c r="B527" s="42" t="s">
        <v>2607</v>
      </c>
      <c r="C527" s="42">
        <v>40697952</v>
      </c>
      <c r="D527" s="42" t="s">
        <v>2608</v>
      </c>
      <c r="E527" s="42" t="s">
        <v>2609</v>
      </c>
      <c r="F527" s="42"/>
      <c r="G527" s="42">
        <v>3</v>
      </c>
      <c r="H527" s="43">
        <f>VLOOKUP(C527,[1]Sheet4!$B$2:$H$344,7,FALSE)</f>
        <v>128236.42</v>
      </c>
      <c r="I527" s="43">
        <f t="shared" si="14"/>
        <v>384709.26</v>
      </c>
      <c r="J527" s="42" t="s">
        <v>14</v>
      </c>
      <c r="K527" s="44">
        <v>3</v>
      </c>
    </row>
    <row r="528" spans="1:11" ht="20.100000000000001" customHeight="1">
      <c r="A528" s="41">
        <v>520</v>
      </c>
      <c r="B528" s="42" t="s">
        <v>2610</v>
      </c>
      <c r="C528" s="42" t="s">
        <v>2611</v>
      </c>
      <c r="D528" s="42" t="s">
        <v>2612</v>
      </c>
      <c r="E528" s="42" t="s">
        <v>2613</v>
      </c>
      <c r="F528" s="42">
        <v>30602224691</v>
      </c>
      <c r="G528" s="42">
        <v>1</v>
      </c>
      <c r="H528" s="43"/>
      <c r="I528" s="43">
        <f t="shared" si="14"/>
        <v>0</v>
      </c>
      <c r="J528" s="42" t="s">
        <v>14</v>
      </c>
      <c r="K528" s="44">
        <v>1</v>
      </c>
    </row>
    <row r="529" spans="1:91" ht="20.100000000000001" customHeight="1">
      <c r="A529" s="37">
        <v>521</v>
      </c>
      <c r="B529" s="42" t="s">
        <v>2614</v>
      </c>
      <c r="C529" s="42">
        <v>40691043</v>
      </c>
      <c r="D529" s="42" t="s">
        <v>2615</v>
      </c>
      <c r="E529" s="42" t="s">
        <v>2616</v>
      </c>
      <c r="F529" s="42"/>
      <c r="G529" s="42">
        <v>28</v>
      </c>
      <c r="H529" s="43">
        <f>VLOOKUP(C529,[1]Sheet4!$B$2:$H$344,7,FALSE)</f>
        <v>5.0999999999999996</v>
      </c>
      <c r="I529" s="43">
        <f t="shared" si="14"/>
        <v>142.79999999999998</v>
      </c>
      <c r="J529" s="42" t="s">
        <v>14</v>
      </c>
      <c r="K529" s="44">
        <v>28</v>
      </c>
    </row>
    <row r="530" spans="1:91" ht="20.100000000000001" customHeight="1">
      <c r="A530" s="41">
        <v>522</v>
      </c>
      <c r="B530" s="42" t="s">
        <v>2617</v>
      </c>
      <c r="C530" s="42">
        <v>40616984</v>
      </c>
      <c r="D530" s="42" t="s">
        <v>2618</v>
      </c>
      <c r="E530" s="42" t="s">
        <v>2619</v>
      </c>
      <c r="F530" s="42" t="s">
        <v>2620</v>
      </c>
      <c r="G530" s="42">
        <v>1</v>
      </c>
      <c r="H530" s="43" t="e">
        <f>VLOOKUP(C530,[1]Sheet4!$B$2:$H$344,7,FALSE)</f>
        <v>#N/A</v>
      </c>
      <c r="I530" s="43" t="e">
        <f t="shared" si="14"/>
        <v>#N/A</v>
      </c>
      <c r="J530" s="42" t="s">
        <v>14</v>
      </c>
      <c r="K530" s="44">
        <v>1</v>
      </c>
    </row>
    <row r="531" spans="1:91" ht="20.100000000000001" customHeight="1">
      <c r="A531" s="37">
        <v>523</v>
      </c>
      <c r="B531" s="42" t="s">
        <v>2621</v>
      </c>
      <c r="C531" s="42" t="s">
        <v>2622</v>
      </c>
      <c r="D531" s="42" t="s">
        <v>2623</v>
      </c>
      <c r="E531" s="42" t="s">
        <v>2624</v>
      </c>
      <c r="F531" s="42"/>
      <c r="G531" s="42">
        <v>4</v>
      </c>
      <c r="H531" s="43"/>
      <c r="I531" s="43">
        <f t="shared" si="14"/>
        <v>0</v>
      </c>
      <c r="J531" s="42" t="s">
        <v>14</v>
      </c>
      <c r="K531" s="44">
        <v>4</v>
      </c>
    </row>
    <row r="532" spans="1:91" ht="20.100000000000001" customHeight="1">
      <c r="A532" s="41">
        <v>524</v>
      </c>
      <c r="B532" s="42" t="s">
        <v>2621</v>
      </c>
      <c r="C532" s="42" t="s">
        <v>2625</v>
      </c>
      <c r="D532" s="42" t="s">
        <v>2626</v>
      </c>
      <c r="E532" s="42" t="s">
        <v>2627</v>
      </c>
      <c r="F532" s="42"/>
      <c r="G532" s="42">
        <v>20</v>
      </c>
      <c r="H532" s="43"/>
      <c r="I532" s="43">
        <f t="shared" si="14"/>
        <v>0</v>
      </c>
      <c r="J532" s="42" t="s">
        <v>14</v>
      </c>
      <c r="K532" s="44">
        <v>20</v>
      </c>
    </row>
    <row r="533" spans="1:91" ht="20.100000000000001" customHeight="1">
      <c r="A533" s="37">
        <v>525</v>
      </c>
      <c r="B533" s="42" t="s">
        <v>2628</v>
      </c>
      <c r="C533" s="42">
        <v>40691146</v>
      </c>
      <c r="D533" s="42" t="s">
        <v>2629</v>
      </c>
      <c r="E533" s="42" t="s">
        <v>2630</v>
      </c>
      <c r="F533" s="42"/>
      <c r="G533" s="42">
        <v>1</v>
      </c>
      <c r="H533" s="43">
        <f>VLOOKUP(C533,[1]Sheet4!$B$2:$H$344,7,FALSE)</f>
        <v>617.55999999999995</v>
      </c>
      <c r="I533" s="43">
        <f t="shared" si="14"/>
        <v>617.55999999999995</v>
      </c>
      <c r="J533" s="42" t="s">
        <v>14</v>
      </c>
      <c r="K533" s="44">
        <v>1</v>
      </c>
    </row>
    <row r="534" spans="1:91" ht="20.100000000000001" customHeight="1">
      <c r="A534" s="41">
        <v>526</v>
      </c>
      <c r="B534" s="42" t="s">
        <v>2631</v>
      </c>
      <c r="C534" s="42">
        <v>40674820</v>
      </c>
      <c r="D534" s="42" t="s">
        <v>2632</v>
      </c>
      <c r="E534" s="42" t="s">
        <v>2633</v>
      </c>
      <c r="F534" s="42"/>
      <c r="G534" s="42">
        <v>3</v>
      </c>
      <c r="H534" s="43">
        <f>VLOOKUP(C534,[1]Sheet4!$B$2:$H$344,7,FALSE)</f>
        <v>165.57</v>
      </c>
      <c r="I534" s="43">
        <f t="shared" si="14"/>
        <v>496.71</v>
      </c>
      <c r="J534" s="42" t="s">
        <v>14</v>
      </c>
      <c r="K534" s="44">
        <v>3</v>
      </c>
    </row>
    <row r="535" spans="1:91" ht="20.100000000000001" customHeight="1">
      <c r="A535" s="37">
        <v>527</v>
      </c>
      <c r="B535" s="42" t="s">
        <v>2634</v>
      </c>
      <c r="C535" s="42" t="s">
        <v>2635</v>
      </c>
      <c r="D535" s="42" t="s">
        <v>2636</v>
      </c>
      <c r="E535" s="42" t="s">
        <v>2637</v>
      </c>
      <c r="F535" s="42" t="s">
        <v>2638</v>
      </c>
      <c r="G535" s="42">
        <v>3</v>
      </c>
      <c r="H535" s="43"/>
      <c r="I535" s="43">
        <f t="shared" si="14"/>
        <v>0</v>
      </c>
      <c r="J535" s="42" t="s">
        <v>14</v>
      </c>
      <c r="K535" s="44">
        <v>3</v>
      </c>
    </row>
    <row r="536" spans="1:91" ht="20.100000000000001" customHeight="1">
      <c r="A536" s="41">
        <v>528</v>
      </c>
      <c r="B536" s="42" t="s">
        <v>2639</v>
      </c>
      <c r="C536" s="42">
        <v>40761485</v>
      </c>
      <c r="D536" s="42" t="s">
        <v>1357</v>
      </c>
      <c r="E536" s="42" t="s">
        <v>1358</v>
      </c>
      <c r="F536" s="42"/>
      <c r="G536" s="42">
        <v>2</v>
      </c>
      <c r="H536" s="43" t="e">
        <f>VLOOKUP(C536,[1]Sheet4!$B$2:$H$344,7,FALSE)</f>
        <v>#N/A</v>
      </c>
      <c r="I536" s="43" t="e">
        <f t="shared" si="14"/>
        <v>#N/A</v>
      </c>
      <c r="J536" s="42" t="s">
        <v>14</v>
      </c>
      <c r="K536" s="44">
        <v>2</v>
      </c>
    </row>
    <row r="537" spans="1:91" ht="20.100000000000001" customHeight="1">
      <c r="A537" s="37">
        <v>529</v>
      </c>
      <c r="B537" s="42" t="s">
        <v>2640</v>
      </c>
      <c r="C537" s="42" t="s">
        <v>2641</v>
      </c>
      <c r="D537" s="42" t="s">
        <v>2642</v>
      </c>
      <c r="E537" s="42" t="s">
        <v>2643</v>
      </c>
      <c r="F537" s="42" t="s">
        <v>2644</v>
      </c>
      <c r="G537" s="42">
        <v>1</v>
      </c>
      <c r="H537" s="43"/>
      <c r="I537" s="43">
        <f t="shared" si="14"/>
        <v>0</v>
      </c>
      <c r="J537" s="42" t="s">
        <v>14</v>
      </c>
      <c r="K537" s="44">
        <v>1</v>
      </c>
    </row>
    <row r="538" spans="1:91" ht="20.100000000000001" customHeight="1">
      <c r="A538" s="41">
        <v>530</v>
      </c>
      <c r="B538" s="42" t="s">
        <v>2645</v>
      </c>
      <c r="C538" s="42">
        <v>340800877</v>
      </c>
      <c r="D538" s="42" t="s">
        <v>2646</v>
      </c>
      <c r="E538" s="42" t="s">
        <v>2647</v>
      </c>
      <c r="F538" s="42"/>
      <c r="G538" s="42">
        <v>4</v>
      </c>
      <c r="H538" s="43" t="e">
        <f>VLOOKUP(C538,[1]Sheet4!$B$2:$H$344,7,FALSE)</f>
        <v>#N/A</v>
      </c>
      <c r="I538" s="43" t="e">
        <f t="shared" si="14"/>
        <v>#N/A</v>
      </c>
      <c r="J538" s="42" t="s">
        <v>14</v>
      </c>
      <c r="K538" s="44">
        <v>4</v>
      </c>
    </row>
    <row r="539" spans="1:91" ht="20.100000000000001" customHeight="1">
      <c r="A539" s="37">
        <v>531</v>
      </c>
      <c r="B539" s="42" t="s">
        <v>2648</v>
      </c>
      <c r="C539" s="42" t="s">
        <v>2649</v>
      </c>
      <c r="D539" s="42" t="s">
        <v>2650</v>
      </c>
      <c r="E539" s="42" t="s">
        <v>2651</v>
      </c>
      <c r="F539" s="42" t="s">
        <v>2652</v>
      </c>
      <c r="G539" s="42">
        <v>1</v>
      </c>
      <c r="H539" s="43"/>
      <c r="I539" s="43">
        <f t="shared" si="14"/>
        <v>0</v>
      </c>
      <c r="J539" s="42" t="s">
        <v>59</v>
      </c>
      <c r="K539" s="44">
        <v>1</v>
      </c>
    </row>
    <row r="540" spans="1:91" ht="20.100000000000001" customHeight="1">
      <c r="A540" s="41">
        <v>532</v>
      </c>
      <c r="B540" s="42" t="s">
        <v>2653</v>
      </c>
      <c r="C540" s="42" t="s">
        <v>2654</v>
      </c>
      <c r="D540" s="42" t="s">
        <v>2655</v>
      </c>
      <c r="E540" s="42" t="s">
        <v>2656</v>
      </c>
      <c r="F540" s="42" t="s">
        <v>2153</v>
      </c>
      <c r="G540" s="42">
        <v>1</v>
      </c>
      <c r="H540" s="43"/>
      <c r="I540" s="43">
        <f t="shared" si="14"/>
        <v>0</v>
      </c>
      <c r="J540" s="42" t="s">
        <v>59</v>
      </c>
      <c r="K540" s="44">
        <v>1</v>
      </c>
    </row>
    <row r="541" spans="1:91" ht="20.100000000000001" customHeight="1">
      <c r="A541" s="37">
        <v>533</v>
      </c>
      <c r="B541" s="42" t="s">
        <v>2657</v>
      </c>
      <c r="C541" s="42">
        <v>40779836</v>
      </c>
      <c r="D541" s="42" t="s">
        <v>1481</v>
      </c>
      <c r="E541" s="42" t="s">
        <v>1482</v>
      </c>
      <c r="F541" s="42"/>
      <c r="G541" s="42">
        <v>5</v>
      </c>
      <c r="H541" s="43">
        <f>VLOOKUP(C541,[1]Sheet4!$B$2:$H$344,7,FALSE)</f>
        <v>92.77</v>
      </c>
      <c r="I541" s="43">
        <f t="shared" si="14"/>
        <v>463.84999999999997</v>
      </c>
      <c r="J541" s="42" t="s">
        <v>14</v>
      </c>
      <c r="K541" s="44">
        <v>5</v>
      </c>
    </row>
    <row r="542" spans="1:91" ht="20.100000000000001" customHeight="1">
      <c r="A542" s="41">
        <v>534</v>
      </c>
      <c r="B542" s="42" t="s">
        <v>2658</v>
      </c>
      <c r="C542" s="42" t="s">
        <v>2659</v>
      </c>
      <c r="D542" s="42" t="s">
        <v>2660</v>
      </c>
      <c r="E542" s="42" t="s">
        <v>2661</v>
      </c>
      <c r="F542" s="42" t="s">
        <v>2662</v>
      </c>
      <c r="G542" s="42">
        <v>3</v>
      </c>
      <c r="H542" s="43"/>
      <c r="I542" s="43">
        <f t="shared" si="14"/>
        <v>0</v>
      </c>
      <c r="J542" s="42" t="s">
        <v>14</v>
      </c>
      <c r="K542" s="44">
        <v>3</v>
      </c>
    </row>
    <row r="543" spans="1:91" ht="20.100000000000001" customHeight="1">
      <c r="A543" s="37">
        <v>535</v>
      </c>
      <c r="B543" s="42" t="s">
        <v>2663</v>
      </c>
      <c r="C543" s="42" t="s">
        <v>2664</v>
      </c>
      <c r="D543" s="42" t="s">
        <v>2660</v>
      </c>
      <c r="E543" s="42" t="s">
        <v>2661</v>
      </c>
      <c r="F543" s="42" t="s">
        <v>2665</v>
      </c>
      <c r="G543" s="42">
        <v>1</v>
      </c>
      <c r="H543" s="43"/>
      <c r="I543" s="43">
        <f t="shared" si="14"/>
        <v>0</v>
      </c>
      <c r="J543" s="42" t="s">
        <v>14</v>
      </c>
      <c r="K543" s="44">
        <v>1</v>
      </c>
    </row>
    <row r="544" spans="1:91" s="53" customFormat="1" ht="20.100000000000001" customHeight="1">
      <c r="A544" s="41">
        <v>536</v>
      </c>
      <c r="B544" s="42" t="s">
        <v>2666</v>
      </c>
      <c r="C544" s="42" t="s">
        <v>2667</v>
      </c>
      <c r="D544" s="52" t="s">
        <v>2668</v>
      </c>
      <c r="E544" s="42" t="s">
        <v>863</v>
      </c>
      <c r="F544" s="42" t="s">
        <v>2669</v>
      </c>
      <c r="G544" s="42">
        <v>8</v>
      </c>
      <c r="H544" s="43"/>
      <c r="I544" s="43">
        <f t="shared" si="14"/>
        <v>0</v>
      </c>
      <c r="J544" s="42" t="s">
        <v>14</v>
      </c>
      <c r="K544" s="44">
        <v>8</v>
      </c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9"/>
      <c r="CB544" s="29"/>
      <c r="CC544" s="29"/>
      <c r="CD544" s="29"/>
      <c r="CE544" s="29"/>
      <c r="CF544" s="29"/>
      <c r="CG544" s="29"/>
      <c r="CH544" s="29"/>
      <c r="CI544" s="29"/>
      <c r="CJ544" s="29"/>
      <c r="CK544" s="29"/>
      <c r="CL544" s="29"/>
      <c r="CM544" s="29"/>
    </row>
    <row r="545" spans="1:11" ht="20.100000000000001" customHeight="1">
      <c r="A545" s="37">
        <v>537</v>
      </c>
      <c r="B545" s="42" t="s">
        <v>2670</v>
      </c>
      <c r="C545" s="42">
        <v>40627961</v>
      </c>
      <c r="D545" s="42" t="s">
        <v>2671</v>
      </c>
      <c r="E545" s="42" t="s">
        <v>2672</v>
      </c>
      <c r="F545" s="42"/>
      <c r="G545" s="42">
        <v>2</v>
      </c>
      <c r="H545" s="43">
        <f>VLOOKUP(C545,[1]Sheet4!$B$2:$H$344,7,FALSE)</f>
        <v>7.1</v>
      </c>
      <c r="I545" s="43">
        <f t="shared" si="14"/>
        <v>14.2</v>
      </c>
      <c r="J545" s="42" t="s">
        <v>14</v>
      </c>
      <c r="K545" s="44">
        <v>2</v>
      </c>
    </row>
    <row r="546" spans="1:11" ht="20.100000000000001" customHeight="1">
      <c r="A546" s="41">
        <v>538</v>
      </c>
      <c r="B546" s="42" t="s">
        <v>2673</v>
      </c>
      <c r="C546" s="45" t="s">
        <v>2674</v>
      </c>
      <c r="D546" s="45"/>
      <c r="E546" s="42"/>
      <c r="F546" s="46"/>
      <c r="G546" s="42">
        <v>8</v>
      </c>
      <c r="H546" s="43"/>
      <c r="I546" s="43">
        <f t="shared" si="14"/>
        <v>0</v>
      </c>
      <c r="J546" s="45" t="s">
        <v>14</v>
      </c>
      <c r="K546" s="44">
        <v>8</v>
      </c>
    </row>
    <row r="547" spans="1:11" ht="20.100000000000001" customHeight="1">
      <c r="A547" s="37">
        <v>539</v>
      </c>
      <c r="B547" s="42" t="s">
        <v>2675</v>
      </c>
      <c r="C547" s="45" t="s">
        <v>2676</v>
      </c>
      <c r="D547" s="45" t="s">
        <v>2677</v>
      </c>
      <c r="E547" s="42"/>
      <c r="F547" s="46"/>
      <c r="G547" s="42">
        <v>2</v>
      </c>
      <c r="H547" s="43"/>
      <c r="I547" s="43">
        <f t="shared" si="14"/>
        <v>0</v>
      </c>
      <c r="J547" s="45" t="s">
        <v>14</v>
      </c>
      <c r="K547" s="44">
        <v>2</v>
      </c>
    </row>
    <row r="548" spans="1:11" ht="20.100000000000001" customHeight="1">
      <c r="A548" s="41">
        <v>540</v>
      </c>
      <c r="B548" s="42" t="s">
        <v>2678</v>
      </c>
      <c r="C548" s="42" t="s">
        <v>2679</v>
      </c>
      <c r="D548" s="42" t="s">
        <v>2680</v>
      </c>
      <c r="E548" s="42" t="s">
        <v>2681</v>
      </c>
      <c r="F548" s="42"/>
      <c r="G548" s="42">
        <v>59</v>
      </c>
      <c r="H548" s="43"/>
      <c r="I548" s="43">
        <f t="shared" si="14"/>
        <v>0</v>
      </c>
      <c r="J548" s="42" t="s">
        <v>14</v>
      </c>
      <c r="K548" s="44">
        <v>52</v>
      </c>
    </row>
    <row r="549" spans="1:11" ht="20.100000000000001" customHeight="1">
      <c r="A549" s="37">
        <v>541</v>
      </c>
      <c r="B549" s="42" t="s">
        <v>2682</v>
      </c>
      <c r="C549" s="42">
        <v>40151235</v>
      </c>
      <c r="D549" s="42" t="s">
        <v>2683</v>
      </c>
      <c r="E549" s="42" t="s">
        <v>2684</v>
      </c>
      <c r="F549" s="42"/>
      <c r="G549" s="42">
        <v>4</v>
      </c>
      <c r="H549" s="43">
        <f>VLOOKUP(C549,[1]Sheet4!$B$2:$H$344,7,FALSE)</f>
        <v>7.13</v>
      </c>
      <c r="I549" s="43">
        <f t="shared" si="14"/>
        <v>28.52</v>
      </c>
      <c r="J549" s="42" t="s">
        <v>14</v>
      </c>
      <c r="K549" s="44">
        <v>4</v>
      </c>
    </row>
    <row r="550" spans="1:11" ht="20.100000000000001" customHeight="1">
      <c r="A550" s="41">
        <v>542</v>
      </c>
      <c r="B550" s="42" t="s">
        <v>2685</v>
      </c>
      <c r="C550" s="42">
        <v>40133381</v>
      </c>
      <c r="D550" s="42" t="s">
        <v>2686</v>
      </c>
      <c r="E550" s="42" t="s">
        <v>2687</v>
      </c>
      <c r="F550" s="42"/>
      <c r="G550" s="42">
        <v>286</v>
      </c>
      <c r="H550" s="43">
        <f>VLOOKUP(C550,[1]Sheet4!$B$2:$H$344,7,FALSE)</f>
        <v>2.76</v>
      </c>
      <c r="I550" s="43">
        <f t="shared" si="14"/>
        <v>789.3599999999999</v>
      </c>
      <c r="J550" s="42" t="s">
        <v>175</v>
      </c>
      <c r="K550" s="44">
        <v>286</v>
      </c>
    </row>
    <row r="551" spans="1:11" ht="20.100000000000001" customHeight="1">
      <c r="A551" s="37">
        <v>543</v>
      </c>
      <c r="B551" s="42" t="s">
        <v>2688</v>
      </c>
      <c r="C551" s="42" t="s">
        <v>2689</v>
      </c>
      <c r="D551" s="42" t="s">
        <v>2690</v>
      </c>
      <c r="E551" s="42" t="s">
        <v>2691</v>
      </c>
      <c r="F551" s="42"/>
      <c r="G551" s="42">
        <v>7</v>
      </c>
      <c r="H551" s="43"/>
      <c r="I551" s="43">
        <f t="shared" si="14"/>
        <v>0</v>
      </c>
      <c r="J551" s="42" t="s">
        <v>175</v>
      </c>
      <c r="K551" s="44">
        <v>7</v>
      </c>
    </row>
    <row r="552" spans="1:11" ht="20.100000000000001" customHeight="1">
      <c r="A552" s="41">
        <v>544</v>
      </c>
      <c r="B552" s="42" t="s">
        <v>2692</v>
      </c>
      <c r="C552" s="42" t="s">
        <v>2693</v>
      </c>
      <c r="D552" s="42" t="s">
        <v>2690</v>
      </c>
      <c r="E552" s="42" t="s">
        <v>2691</v>
      </c>
      <c r="F552" s="42"/>
      <c r="G552" s="42">
        <v>6</v>
      </c>
      <c r="H552" s="43"/>
      <c r="I552" s="43">
        <f t="shared" si="14"/>
        <v>0</v>
      </c>
      <c r="J552" s="42" t="s">
        <v>175</v>
      </c>
      <c r="K552" s="44">
        <v>6</v>
      </c>
    </row>
    <row r="553" spans="1:11" ht="20.100000000000001" customHeight="1">
      <c r="A553" s="37">
        <v>545</v>
      </c>
      <c r="B553" s="42" t="s">
        <v>2694</v>
      </c>
      <c r="C553" s="42" t="s">
        <v>2695</v>
      </c>
      <c r="D553" s="42" t="s">
        <v>2690</v>
      </c>
      <c r="E553" s="42" t="s">
        <v>2691</v>
      </c>
      <c r="F553" s="42"/>
      <c r="G553" s="42">
        <v>7</v>
      </c>
      <c r="H553" s="43"/>
      <c r="I553" s="43">
        <f t="shared" si="14"/>
        <v>0</v>
      </c>
      <c r="J553" s="42" t="s">
        <v>175</v>
      </c>
      <c r="K553" s="44">
        <v>7</v>
      </c>
    </row>
    <row r="554" spans="1:11" ht="20.100000000000001" customHeight="1">
      <c r="A554" s="41">
        <v>546</v>
      </c>
      <c r="B554" s="42" t="s">
        <v>2696</v>
      </c>
      <c r="C554" s="42">
        <v>131100274</v>
      </c>
      <c r="D554" s="42" t="s">
        <v>2697</v>
      </c>
      <c r="E554" s="42" t="s">
        <v>2698</v>
      </c>
      <c r="F554" s="42"/>
      <c r="G554" s="42">
        <v>107</v>
      </c>
      <c r="H554" s="43">
        <f>VLOOKUP(C554,[1]Sheet4!$B$2:$H$344,7,FALSE)</f>
        <v>1.62</v>
      </c>
      <c r="I554" s="43">
        <f t="shared" si="14"/>
        <v>173.34</v>
      </c>
      <c r="J554" s="42" t="s">
        <v>14</v>
      </c>
      <c r="K554" s="44">
        <v>107</v>
      </c>
    </row>
    <row r="555" spans="1:11" ht="20.100000000000001" customHeight="1">
      <c r="A555" s="37">
        <v>547</v>
      </c>
      <c r="B555" s="42" t="s">
        <v>2699</v>
      </c>
      <c r="C555" s="42">
        <v>131100277</v>
      </c>
      <c r="D555" s="42" t="s">
        <v>2700</v>
      </c>
      <c r="E555" s="42" t="s">
        <v>2701</v>
      </c>
      <c r="F555" s="42"/>
      <c r="G555" s="42">
        <v>930</v>
      </c>
      <c r="H555" s="43">
        <f>VLOOKUP(C555,[1]Sheet4!$B$2:$H$344,7,FALSE)</f>
        <v>0.59</v>
      </c>
      <c r="I555" s="43">
        <f t="shared" si="14"/>
        <v>548.69999999999993</v>
      </c>
      <c r="J555" s="42" t="s">
        <v>14</v>
      </c>
      <c r="K555" s="44">
        <v>927</v>
      </c>
    </row>
    <row r="556" spans="1:11" ht="20.100000000000001" customHeight="1">
      <c r="A556" s="41">
        <v>548</v>
      </c>
      <c r="B556" s="42" t="s">
        <v>2702</v>
      </c>
      <c r="C556" s="45">
        <v>40703649</v>
      </c>
      <c r="D556" s="45" t="s">
        <v>2703</v>
      </c>
      <c r="E556" s="42"/>
      <c r="F556" s="46"/>
      <c r="G556" s="42">
        <v>70</v>
      </c>
      <c r="H556" s="43">
        <f>VLOOKUP(C556,[1]Sheet4!$B$2:$H$344,7,FALSE)</f>
        <v>1.35</v>
      </c>
      <c r="I556" s="43">
        <f t="shared" si="14"/>
        <v>94.5</v>
      </c>
      <c r="J556" s="45" t="s">
        <v>14</v>
      </c>
      <c r="K556" s="44">
        <v>63</v>
      </c>
    </row>
    <row r="557" spans="1:11" ht="20.100000000000001" customHeight="1">
      <c r="A557" s="37">
        <v>549</v>
      </c>
      <c r="B557" s="42" t="s">
        <v>2704</v>
      </c>
      <c r="C557" s="45">
        <v>131100641</v>
      </c>
      <c r="D557" s="45" t="s">
        <v>2705</v>
      </c>
      <c r="E557" s="42"/>
      <c r="F557" s="46"/>
      <c r="G557" s="42">
        <v>199</v>
      </c>
      <c r="H557" s="43">
        <f>VLOOKUP(C557,[1]Sheet4!$B$2:$H$344,7,FALSE)</f>
        <v>134.77000000000001</v>
      </c>
      <c r="I557" s="43">
        <f t="shared" si="14"/>
        <v>26819.230000000003</v>
      </c>
      <c r="J557" s="45" t="s">
        <v>2706</v>
      </c>
      <c r="K557" s="44">
        <v>199</v>
      </c>
    </row>
    <row r="558" spans="1:11" ht="20.100000000000001" customHeight="1">
      <c r="A558" s="41">
        <v>550</v>
      </c>
      <c r="B558" s="42" t="s">
        <v>2707</v>
      </c>
      <c r="C558" s="45">
        <v>40600233</v>
      </c>
      <c r="D558" s="45" t="s">
        <v>2708</v>
      </c>
      <c r="E558" s="42"/>
      <c r="F558" s="46"/>
      <c r="G558" s="42">
        <v>8</v>
      </c>
      <c r="H558" s="43">
        <f>VLOOKUP(C558,[1]Sheet4!$B$2:$H$344,7,FALSE)</f>
        <v>65.86</v>
      </c>
      <c r="I558" s="43">
        <f t="shared" si="14"/>
        <v>526.88</v>
      </c>
      <c r="J558" s="45" t="s">
        <v>14</v>
      </c>
      <c r="K558" s="44">
        <v>8</v>
      </c>
    </row>
    <row r="559" spans="1:11" ht="20.100000000000001" customHeight="1">
      <c r="A559" s="37">
        <v>551</v>
      </c>
      <c r="B559" s="42" t="s">
        <v>2709</v>
      </c>
      <c r="C559" s="45" t="s">
        <v>2710</v>
      </c>
      <c r="D559" s="45"/>
      <c r="E559" s="42"/>
      <c r="F559" s="46"/>
      <c r="G559" s="42">
        <v>6</v>
      </c>
      <c r="H559" s="43"/>
      <c r="I559" s="43">
        <f t="shared" si="14"/>
        <v>0</v>
      </c>
      <c r="J559" s="45" t="s">
        <v>14</v>
      </c>
      <c r="K559" s="44">
        <v>6</v>
      </c>
    </row>
    <row r="560" spans="1:11" ht="20.100000000000001" customHeight="1">
      <c r="A560" s="41">
        <v>552</v>
      </c>
      <c r="B560" s="42" t="s">
        <v>2711</v>
      </c>
      <c r="C560" s="45">
        <v>340100067</v>
      </c>
      <c r="D560" s="45" t="s">
        <v>2712</v>
      </c>
      <c r="E560" s="42"/>
      <c r="F560" s="46"/>
      <c r="G560" s="42">
        <v>3</v>
      </c>
      <c r="H560" s="43">
        <f>VLOOKUP(C560,[1]Sheet4!$B$2:$H$344,7,FALSE)</f>
        <v>54.71</v>
      </c>
      <c r="I560" s="43">
        <f t="shared" si="14"/>
        <v>164.13</v>
      </c>
      <c r="J560" s="45" t="s">
        <v>287</v>
      </c>
      <c r="K560" s="44">
        <v>3</v>
      </c>
    </row>
    <row r="561" spans="1:11" ht="20.100000000000001" customHeight="1">
      <c r="A561" s="41">
        <v>554</v>
      </c>
      <c r="B561" s="42" t="s">
        <v>2713</v>
      </c>
      <c r="C561" s="45">
        <v>120101278</v>
      </c>
      <c r="D561" s="45" t="s">
        <v>2714</v>
      </c>
      <c r="E561" s="42"/>
      <c r="F561" s="46"/>
      <c r="G561" s="42">
        <v>7</v>
      </c>
      <c r="H561" s="43">
        <f>VLOOKUP(C561,[1]Sheet4!$B$2:$H$344,7,FALSE)</f>
        <v>8.4600000000000009</v>
      </c>
      <c r="I561" s="43">
        <f t="shared" si="14"/>
        <v>59.220000000000006</v>
      </c>
      <c r="J561" s="45" t="s">
        <v>14</v>
      </c>
      <c r="K561" s="44">
        <v>4</v>
      </c>
    </row>
    <row r="562" spans="1:11" ht="20.100000000000001" customHeight="1">
      <c r="A562" s="37">
        <v>555</v>
      </c>
      <c r="B562" s="42" t="s">
        <v>2713</v>
      </c>
      <c r="C562" s="45" t="s">
        <v>2715</v>
      </c>
      <c r="D562" s="45" t="s">
        <v>2716</v>
      </c>
      <c r="E562" s="42"/>
      <c r="F562" s="46"/>
      <c r="G562" s="42">
        <v>1</v>
      </c>
      <c r="H562" s="43"/>
      <c r="I562" s="43">
        <f t="shared" si="14"/>
        <v>0</v>
      </c>
      <c r="J562" s="45"/>
      <c r="K562" s="44">
        <v>0</v>
      </c>
    </row>
    <row r="563" spans="1:11" ht="20.100000000000001" customHeight="1">
      <c r="A563" s="37">
        <v>557</v>
      </c>
      <c r="B563" s="42" t="s">
        <v>2717</v>
      </c>
      <c r="C563" s="42">
        <v>40667521</v>
      </c>
      <c r="D563" s="42" t="s">
        <v>2718</v>
      </c>
      <c r="E563" s="42" t="s">
        <v>2719</v>
      </c>
      <c r="F563" s="42" t="s">
        <v>2720</v>
      </c>
      <c r="G563" s="42">
        <v>17</v>
      </c>
      <c r="H563" s="43">
        <f>VLOOKUP(C563,[1]Sheet4!$B$2:$H$344,7,FALSE)</f>
        <v>29.84</v>
      </c>
      <c r="I563" s="43">
        <f t="shared" si="14"/>
        <v>507.28</v>
      </c>
      <c r="J563" s="42" t="s">
        <v>14</v>
      </c>
      <c r="K563" s="44">
        <v>16</v>
      </c>
    </row>
    <row r="564" spans="1:11" ht="20.100000000000001" customHeight="1">
      <c r="A564" s="41">
        <v>558</v>
      </c>
      <c r="B564" s="42" t="s">
        <v>2721</v>
      </c>
      <c r="C564" s="42">
        <v>40667523</v>
      </c>
      <c r="D564" s="42" t="s">
        <v>2722</v>
      </c>
      <c r="E564" s="42" t="s">
        <v>2723</v>
      </c>
      <c r="F564" s="42" t="s">
        <v>2724</v>
      </c>
      <c r="G564" s="42">
        <v>20</v>
      </c>
      <c r="H564" s="43">
        <f>VLOOKUP(C564,[1]Sheet4!$B$2:$H$344,7,FALSE)</f>
        <v>172.28</v>
      </c>
      <c r="I564" s="43">
        <f t="shared" si="14"/>
        <v>3445.6</v>
      </c>
      <c r="J564" s="42" t="s">
        <v>14</v>
      </c>
      <c r="K564" s="44">
        <v>20</v>
      </c>
    </row>
    <row r="565" spans="1:11" ht="20.100000000000001" customHeight="1">
      <c r="A565" s="37">
        <v>559</v>
      </c>
      <c r="B565" s="42" t="s">
        <v>2725</v>
      </c>
      <c r="C565" s="42">
        <v>40667522</v>
      </c>
      <c r="D565" s="42" t="s">
        <v>2726</v>
      </c>
      <c r="E565" s="42" t="s">
        <v>2727</v>
      </c>
      <c r="F565" s="42" t="s">
        <v>2728</v>
      </c>
      <c r="G565" s="42">
        <v>19</v>
      </c>
      <c r="H565" s="43">
        <f>VLOOKUP(C565,[1]Sheet4!$B$2:$H$344,7,FALSE)</f>
        <v>83.17</v>
      </c>
      <c r="I565" s="43">
        <f t="shared" si="14"/>
        <v>1580.23</v>
      </c>
      <c r="J565" s="42" t="s">
        <v>14</v>
      </c>
      <c r="K565" s="44">
        <v>19</v>
      </c>
    </row>
    <row r="566" spans="1:11" ht="20.100000000000001" customHeight="1">
      <c r="A566" s="41">
        <v>560</v>
      </c>
      <c r="B566" s="42" t="s">
        <v>2729</v>
      </c>
      <c r="C566" s="42">
        <v>40627002</v>
      </c>
      <c r="D566" s="42" t="s">
        <v>2730</v>
      </c>
      <c r="E566" s="42" t="s">
        <v>2731</v>
      </c>
      <c r="F566" s="42"/>
      <c r="G566" s="42">
        <v>17</v>
      </c>
      <c r="H566" s="43">
        <f>VLOOKUP(C566,[1]Sheet4!$B$2:$H$344,7,FALSE)</f>
        <v>6768.16</v>
      </c>
      <c r="I566" s="43">
        <f t="shared" si="14"/>
        <v>115058.72</v>
      </c>
      <c r="J566" s="42" t="s">
        <v>14</v>
      </c>
      <c r="K566" s="44">
        <v>17</v>
      </c>
    </row>
    <row r="567" spans="1:11" ht="20.100000000000001" customHeight="1">
      <c r="A567" s="37">
        <v>561</v>
      </c>
      <c r="B567" s="42" t="s">
        <v>2732</v>
      </c>
      <c r="C567" s="42">
        <v>40627003</v>
      </c>
      <c r="D567" s="42" t="s">
        <v>2733</v>
      </c>
      <c r="E567" s="42" t="s">
        <v>2734</v>
      </c>
      <c r="F567" s="42"/>
      <c r="G567" s="42">
        <v>12</v>
      </c>
      <c r="H567" s="43">
        <f>VLOOKUP(C567,[1]Sheet4!$B$2:$H$344,7,FALSE)</f>
        <v>2335.3000000000002</v>
      </c>
      <c r="I567" s="43">
        <f t="shared" si="14"/>
        <v>28023.600000000002</v>
      </c>
      <c r="J567" s="42" t="s">
        <v>14</v>
      </c>
      <c r="K567" s="44">
        <v>12</v>
      </c>
    </row>
    <row r="568" spans="1:11" ht="20.100000000000001" customHeight="1">
      <c r="A568" s="41">
        <v>562</v>
      </c>
      <c r="B568" s="42" t="s">
        <v>2735</v>
      </c>
      <c r="C568" s="42">
        <v>40691149</v>
      </c>
      <c r="D568" s="42" t="s">
        <v>2736</v>
      </c>
      <c r="E568" s="42" t="s">
        <v>2737</v>
      </c>
      <c r="F568" s="42"/>
      <c r="G568" s="42">
        <v>6</v>
      </c>
      <c r="H568" s="43">
        <f>VLOOKUP(C568,[1]Sheet4!$B$2:$H$344,7,FALSE)</f>
        <v>415.2</v>
      </c>
      <c r="I568" s="43">
        <f t="shared" si="14"/>
        <v>2491.1999999999998</v>
      </c>
      <c r="J568" s="42" t="s">
        <v>14</v>
      </c>
      <c r="K568" s="44">
        <v>6</v>
      </c>
    </row>
    <row r="569" spans="1:11" ht="20.100000000000001" customHeight="1">
      <c r="A569" s="37">
        <v>563</v>
      </c>
      <c r="B569" s="42" t="s">
        <v>2738</v>
      </c>
      <c r="C569" s="42">
        <v>40622594</v>
      </c>
      <c r="D569" s="42" t="s">
        <v>2739</v>
      </c>
      <c r="E569" s="42" t="s">
        <v>2740</v>
      </c>
      <c r="F569" s="42"/>
      <c r="G569" s="42">
        <v>7</v>
      </c>
      <c r="H569" s="43">
        <f>VLOOKUP(C569,[1]Sheet4!$B$2:$H$344,7,FALSE)</f>
        <v>860.29</v>
      </c>
      <c r="I569" s="43">
        <f t="shared" si="14"/>
        <v>6022.03</v>
      </c>
      <c r="J569" s="42" t="s">
        <v>14</v>
      </c>
      <c r="K569" s="44">
        <v>7</v>
      </c>
    </row>
    <row r="570" spans="1:11" ht="20.100000000000001" customHeight="1">
      <c r="A570" s="41">
        <v>564</v>
      </c>
      <c r="B570" s="42" t="s">
        <v>2741</v>
      </c>
      <c r="C570" s="42">
        <v>40626946</v>
      </c>
      <c r="D570" s="42" t="s">
        <v>2742</v>
      </c>
      <c r="E570" s="42" t="s">
        <v>2742</v>
      </c>
      <c r="F570" s="42" t="s">
        <v>2743</v>
      </c>
      <c r="G570" s="42">
        <v>10</v>
      </c>
      <c r="H570" s="43" t="e">
        <f>VLOOKUP(C570,[1]Sheet4!$B$2:$H$344,7,FALSE)</f>
        <v>#N/A</v>
      </c>
      <c r="I570" s="43" t="e">
        <f t="shared" si="14"/>
        <v>#N/A</v>
      </c>
      <c r="J570" s="42" t="s">
        <v>14</v>
      </c>
      <c r="K570" s="44">
        <v>10</v>
      </c>
    </row>
    <row r="571" spans="1:11" ht="20.100000000000001" customHeight="1">
      <c r="A571" s="37">
        <v>565</v>
      </c>
      <c r="B571" s="42" t="s">
        <v>2744</v>
      </c>
      <c r="C571" s="42" t="s">
        <v>2745</v>
      </c>
      <c r="D571" s="42"/>
      <c r="E571" s="42"/>
      <c r="F571" s="42"/>
      <c r="G571" s="42">
        <v>24</v>
      </c>
      <c r="H571" s="43"/>
      <c r="I571" s="43">
        <f t="shared" ref="I571:I634" si="15">H571*G571</f>
        <v>0</v>
      </c>
      <c r="J571" s="42" t="s">
        <v>14</v>
      </c>
      <c r="K571" s="44">
        <v>24</v>
      </c>
    </row>
    <row r="572" spans="1:11" ht="20.100000000000001" customHeight="1">
      <c r="A572" s="41">
        <v>566</v>
      </c>
      <c r="B572" s="42" t="s">
        <v>2746</v>
      </c>
      <c r="C572" s="42">
        <v>40622690</v>
      </c>
      <c r="D572" s="42" t="s">
        <v>2747</v>
      </c>
      <c r="E572" s="42" t="s">
        <v>2748</v>
      </c>
      <c r="F572" s="42"/>
      <c r="G572" s="42">
        <v>22</v>
      </c>
      <c r="H572" s="43">
        <f>VLOOKUP(C572,[1]Sheet4!$B$2:$H$344,7,FALSE)</f>
        <v>107.09</v>
      </c>
      <c r="I572" s="43">
        <f t="shared" si="15"/>
        <v>2355.98</v>
      </c>
      <c r="J572" s="42" t="s">
        <v>14</v>
      </c>
      <c r="K572" s="44">
        <v>22</v>
      </c>
    </row>
    <row r="573" spans="1:11" ht="20.100000000000001" customHeight="1">
      <c r="A573" s="37">
        <v>567</v>
      </c>
      <c r="B573" s="42" t="s">
        <v>2749</v>
      </c>
      <c r="C573" s="42" t="s">
        <v>2750</v>
      </c>
      <c r="D573" s="42" t="s">
        <v>2751</v>
      </c>
      <c r="E573" s="42" t="s">
        <v>912</v>
      </c>
      <c r="F573" s="42" t="s">
        <v>2752</v>
      </c>
      <c r="G573" s="42">
        <v>29</v>
      </c>
      <c r="H573" s="43"/>
      <c r="I573" s="43">
        <f t="shared" si="15"/>
        <v>0</v>
      </c>
      <c r="J573" s="42" t="s">
        <v>14</v>
      </c>
      <c r="K573" s="44">
        <v>29</v>
      </c>
    </row>
    <row r="574" spans="1:11" ht="20.100000000000001" customHeight="1">
      <c r="A574" s="41">
        <v>568</v>
      </c>
      <c r="B574" s="42" t="s">
        <v>2753</v>
      </c>
      <c r="C574" s="42">
        <v>40575506</v>
      </c>
      <c r="D574" s="42" t="s">
        <v>2754</v>
      </c>
      <c r="E574" s="42" t="s">
        <v>2755</v>
      </c>
      <c r="F574" s="42"/>
      <c r="G574" s="42">
        <v>29</v>
      </c>
      <c r="H574" s="43">
        <f>VLOOKUP(C574,[1]Sheet4!$B$2:$H$344,7,FALSE)</f>
        <v>27.94</v>
      </c>
      <c r="I574" s="43">
        <f t="shared" si="15"/>
        <v>810.26</v>
      </c>
      <c r="J574" s="42" t="s">
        <v>14</v>
      </c>
      <c r="K574" s="44">
        <v>27</v>
      </c>
    </row>
    <row r="575" spans="1:11" ht="20.100000000000001" customHeight="1">
      <c r="A575" s="37">
        <v>569</v>
      </c>
      <c r="B575" s="42" t="s">
        <v>2756</v>
      </c>
      <c r="C575" s="42">
        <v>40575528</v>
      </c>
      <c r="D575" s="42" t="s">
        <v>2757</v>
      </c>
      <c r="E575" s="42" t="s">
        <v>2758</v>
      </c>
      <c r="F575" s="42"/>
      <c r="G575" s="42">
        <v>29</v>
      </c>
      <c r="H575" s="43">
        <f>VLOOKUP(C575,[1]Sheet4!$B$2:$H$344,7,FALSE)</f>
        <v>8.86</v>
      </c>
      <c r="I575" s="43">
        <f t="shared" si="15"/>
        <v>256.94</v>
      </c>
      <c r="J575" s="42" t="s">
        <v>14</v>
      </c>
      <c r="K575" s="44">
        <v>29</v>
      </c>
    </row>
    <row r="576" spans="1:11" ht="20.100000000000001" customHeight="1">
      <c r="A576" s="41">
        <v>570</v>
      </c>
      <c r="B576" s="42" t="s">
        <v>2759</v>
      </c>
      <c r="C576" s="42">
        <v>40575519</v>
      </c>
      <c r="D576" s="42" t="s">
        <v>2760</v>
      </c>
      <c r="E576" s="42" t="s">
        <v>2761</v>
      </c>
      <c r="F576" s="42"/>
      <c r="G576" s="42">
        <v>16</v>
      </c>
      <c r="H576" s="43">
        <f>VLOOKUP(C576,[1]Sheet4!$B$2:$H$344,7,FALSE)</f>
        <v>13.86</v>
      </c>
      <c r="I576" s="43">
        <f t="shared" si="15"/>
        <v>221.76</v>
      </c>
      <c r="J576" s="42" t="s">
        <v>14</v>
      </c>
      <c r="K576" s="44">
        <v>16</v>
      </c>
    </row>
    <row r="577" spans="1:11" ht="20.100000000000001" customHeight="1">
      <c r="A577" s="37">
        <v>571</v>
      </c>
      <c r="B577" s="42" t="s">
        <v>2762</v>
      </c>
      <c r="C577" s="42" t="s">
        <v>2763</v>
      </c>
      <c r="D577" s="42"/>
      <c r="E577" s="42"/>
      <c r="F577" s="42"/>
      <c r="G577" s="42">
        <v>2</v>
      </c>
      <c r="H577" s="43"/>
      <c r="I577" s="43">
        <f t="shared" si="15"/>
        <v>0</v>
      </c>
      <c r="J577" s="42" t="s">
        <v>14</v>
      </c>
      <c r="K577" s="44">
        <v>2</v>
      </c>
    </row>
    <row r="578" spans="1:11" ht="20.100000000000001" customHeight="1">
      <c r="A578" s="41">
        <v>572</v>
      </c>
      <c r="B578" s="42" t="s">
        <v>2764</v>
      </c>
      <c r="C578" s="45" t="s">
        <v>2765</v>
      </c>
      <c r="D578" s="45" t="s">
        <v>2766</v>
      </c>
      <c r="E578" s="42"/>
      <c r="F578" s="46"/>
      <c r="G578" s="46" t="s">
        <v>2767</v>
      </c>
      <c r="H578" s="54"/>
      <c r="I578" s="43" t="e">
        <f t="shared" si="15"/>
        <v>#VALUE!</v>
      </c>
      <c r="J578" s="45"/>
      <c r="K578" s="44" t="s">
        <v>3432</v>
      </c>
    </row>
    <row r="579" spans="1:11" ht="20.100000000000001" customHeight="1">
      <c r="A579" s="37">
        <v>573</v>
      </c>
      <c r="B579" s="42" t="s">
        <v>2768</v>
      </c>
      <c r="C579" s="45" t="s">
        <v>2769</v>
      </c>
      <c r="D579" s="45" t="s">
        <v>2770</v>
      </c>
      <c r="E579" s="42"/>
      <c r="F579" s="46"/>
      <c r="G579" s="46" t="s">
        <v>2771</v>
      </c>
      <c r="H579" s="54"/>
      <c r="I579" s="43" t="e">
        <f t="shared" si="15"/>
        <v>#VALUE!</v>
      </c>
      <c r="J579" s="45"/>
      <c r="K579" s="44" t="s">
        <v>3433</v>
      </c>
    </row>
    <row r="580" spans="1:11" ht="20.100000000000001" customHeight="1">
      <c r="A580" s="41">
        <v>574</v>
      </c>
      <c r="B580" s="42" t="s">
        <v>2772</v>
      </c>
      <c r="C580" s="45" t="s">
        <v>2773</v>
      </c>
      <c r="D580" s="45" t="s">
        <v>1064</v>
      </c>
      <c r="E580" s="42"/>
      <c r="F580" s="46"/>
      <c r="G580" s="42">
        <v>22</v>
      </c>
      <c r="H580" s="43"/>
      <c r="I580" s="43">
        <f t="shared" si="15"/>
        <v>0</v>
      </c>
      <c r="J580" s="45" t="s">
        <v>14</v>
      </c>
      <c r="K580" s="44">
        <v>22</v>
      </c>
    </row>
    <row r="581" spans="1:11" ht="20.100000000000001" customHeight="1">
      <c r="A581" s="37">
        <v>575</v>
      </c>
      <c r="B581" s="42" t="s">
        <v>2774</v>
      </c>
      <c r="C581" s="42">
        <v>40626946</v>
      </c>
      <c r="D581" s="42"/>
      <c r="E581" s="42"/>
      <c r="F581" s="42"/>
      <c r="G581" s="42">
        <v>10</v>
      </c>
      <c r="H581" s="43" t="e">
        <f>VLOOKUP(C581,[1]Sheet4!$B$2:$H$344,7,FALSE)</f>
        <v>#N/A</v>
      </c>
      <c r="I581" s="43" t="e">
        <f t="shared" si="15"/>
        <v>#N/A</v>
      </c>
      <c r="J581" s="42" t="s">
        <v>14</v>
      </c>
      <c r="K581" s="44">
        <v>11</v>
      </c>
    </row>
    <row r="582" spans="1:11" ht="20.100000000000001" customHeight="1">
      <c r="A582" s="41">
        <v>576</v>
      </c>
      <c r="B582" s="42" t="s">
        <v>2775</v>
      </c>
      <c r="C582" s="42" t="s">
        <v>2776</v>
      </c>
      <c r="D582" s="42" t="s">
        <v>2777</v>
      </c>
      <c r="E582" s="42" t="s">
        <v>2778</v>
      </c>
      <c r="F582" s="42" t="s">
        <v>2779</v>
      </c>
      <c r="G582" s="42">
        <v>12</v>
      </c>
      <c r="H582" s="43"/>
      <c r="I582" s="43">
        <f t="shared" si="15"/>
        <v>0</v>
      </c>
      <c r="J582" s="42" t="s">
        <v>14</v>
      </c>
      <c r="K582" s="44">
        <v>12</v>
      </c>
    </row>
    <row r="583" spans="1:11" ht="20.100000000000001" customHeight="1">
      <c r="A583" s="37">
        <v>577</v>
      </c>
      <c r="B583" s="42" t="s">
        <v>2775</v>
      </c>
      <c r="C583" s="42" t="s">
        <v>2780</v>
      </c>
      <c r="D583" s="42"/>
      <c r="E583" s="42" t="s">
        <v>2781</v>
      </c>
      <c r="F583" s="42"/>
      <c r="G583" s="42">
        <v>5</v>
      </c>
      <c r="H583" s="43"/>
      <c r="I583" s="43">
        <f t="shared" si="15"/>
        <v>0</v>
      </c>
      <c r="J583" s="42" t="s">
        <v>14</v>
      </c>
      <c r="K583" s="44">
        <v>5</v>
      </c>
    </row>
    <row r="584" spans="1:11" ht="20.100000000000001" customHeight="1">
      <c r="A584" s="41">
        <v>578</v>
      </c>
      <c r="B584" s="42" t="s">
        <v>2782</v>
      </c>
      <c r="C584" s="42" t="s">
        <v>2783</v>
      </c>
      <c r="D584" s="42" t="s">
        <v>2784</v>
      </c>
      <c r="E584" s="42" t="s">
        <v>2785</v>
      </c>
      <c r="F584" s="42"/>
      <c r="G584" s="42">
        <v>3</v>
      </c>
      <c r="H584" s="43"/>
      <c r="I584" s="43">
        <f t="shared" si="15"/>
        <v>0</v>
      </c>
      <c r="J584" s="42" t="s">
        <v>14</v>
      </c>
      <c r="K584" s="44">
        <v>3</v>
      </c>
    </row>
    <row r="585" spans="1:11" ht="20.100000000000001" customHeight="1">
      <c r="A585" s="37">
        <v>579</v>
      </c>
      <c r="B585" s="42" t="s">
        <v>2786</v>
      </c>
      <c r="C585" s="42" t="s">
        <v>2787</v>
      </c>
      <c r="D585" s="42" t="s">
        <v>2788</v>
      </c>
      <c r="E585" s="42" t="s">
        <v>2789</v>
      </c>
      <c r="F585" s="42"/>
      <c r="G585" s="42">
        <v>2</v>
      </c>
      <c r="H585" s="43"/>
      <c r="I585" s="43">
        <f t="shared" si="15"/>
        <v>0</v>
      </c>
      <c r="J585" s="42" t="s">
        <v>14</v>
      </c>
      <c r="K585" s="44">
        <v>2</v>
      </c>
    </row>
    <row r="586" spans="1:11" ht="20.100000000000001" customHeight="1">
      <c r="A586" s="41">
        <v>580</v>
      </c>
      <c r="B586" s="42" t="s">
        <v>2790</v>
      </c>
      <c r="C586" s="42">
        <v>40742396</v>
      </c>
      <c r="D586" s="42" t="s">
        <v>2791</v>
      </c>
      <c r="E586" s="42" t="s">
        <v>2792</v>
      </c>
      <c r="F586" s="42"/>
      <c r="G586" s="42">
        <v>30</v>
      </c>
      <c r="H586" s="43">
        <f>VLOOKUP(C586,[1]Sheet4!$B$2:$H$344,7,FALSE)</f>
        <v>25.07</v>
      </c>
      <c r="I586" s="43">
        <f t="shared" si="15"/>
        <v>752.1</v>
      </c>
      <c r="J586" s="42" t="s">
        <v>14</v>
      </c>
      <c r="K586" s="44">
        <v>30</v>
      </c>
    </row>
    <row r="587" spans="1:11" ht="20.100000000000001" customHeight="1">
      <c r="A587" s="37">
        <v>581</v>
      </c>
      <c r="B587" s="42" t="s">
        <v>2793</v>
      </c>
      <c r="C587" s="42">
        <v>40742396</v>
      </c>
      <c r="D587" s="42" t="s">
        <v>2794</v>
      </c>
      <c r="E587" s="42" t="s">
        <v>2795</v>
      </c>
      <c r="F587" s="42" t="s">
        <v>2796</v>
      </c>
      <c r="G587" s="42">
        <v>53</v>
      </c>
      <c r="H587" s="43"/>
      <c r="I587" s="43">
        <f t="shared" si="15"/>
        <v>0</v>
      </c>
      <c r="J587" s="42" t="s">
        <v>14</v>
      </c>
      <c r="K587" s="44">
        <v>53</v>
      </c>
    </row>
    <row r="588" spans="1:11" ht="20.100000000000001" customHeight="1">
      <c r="A588" s="41">
        <v>582</v>
      </c>
      <c r="B588" s="42" t="s">
        <v>2793</v>
      </c>
      <c r="C588" s="42" t="s">
        <v>2797</v>
      </c>
      <c r="D588" s="42" t="s">
        <v>2798</v>
      </c>
      <c r="E588" s="42" t="s">
        <v>2799</v>
      </c>
      <c r="F588" s="42" t="s">
        <v>2800</v>
      </c>
      <c r="G588" s="42">
        <v>6</v>
      </c>
      <c r="H588" s="43"/>
      <c r="I588" s="43">
        <f t="shared" si="15"/>
        <v>0</v>
      </c>
      <c r="J588" s="42" t="s">
        <v>14</v>
      </c>
      <c r="K588" s="44">
        <v>6</v>
      </c>
    </row>
    <row r="589" spans="1:11" ht="20.100000000000001" customHeight="1">
      <c r="A589" s="37">
        <v>583</v>
      </c>
      <c r="B589" s="42" t="s">
        <v>2801</v>
      </c>
      <c r="C589" s="42" t="s">
        <v>2802</v>
      </c>
      <c r="D589" s="42" t="s">
        <v>2803</v>
      </c>
      <c r="E589" s="42" t="s">
        <v>2804</v>
      </c>
      <c r="F589" s="42" t="s">
        <v>2805</v>
      </c>
      <c r="G589" s="42">
        <v>142</v>
      </c>
      <c r="H589" s="43"/>
      <c r="I589" s="43">
        <f t="shared" si="15"/>
        <v>0</v>
      </c>
      <c r="J589" s="42" t="s">
        <v>14</v>
      </c>
      <c r="K589" s="44">
        <v>142</v>
      </c>
    </row>
    <row r="590" spans="1:11" ht="20.100000000000001" customHeight="1">
      <c r="A590" s="41">
        <v>584</v>
      </c>
      <c r="B590" s="42" t="s">
        <v>2806</v>
      </c>
      <c r="C590" s="42" t="s">
        <v>2807</v>
      </c>
      <c r="D590" s="42" t="s">
        <v>2803</v>
      </c>
      <c r="E590" s="42" t="s">
        <v>2804</v>
      </c>
      <c r="F590" s="42" t="s">
        <v>2805</v>
      </c>
      <c r="G590" s="42">
        <v>73</v>
      </c>
      <c r="H590" s="43"/>
      <c r="I590" s="43">
        <f t="shared" si="15"/>
        <v>0</v>
      </c>
      <c r="J590" s="42" t="s">
        <v>14</v>
      </c>
      <c r="K590" s="44">
        <v>73</v>
      </c>
    </row>
    <row r="591" spans="1:11" ht="20.100000000000001" customHeight="1">
      <c r="A591" s="37">
        <v>585</v>
      </c>
      <c r="B591" s="42" t="s">
        <v>2808</v>
      </c>
      <c r="C591" s="42" t="s">
        <v>2809</v>
      </c>
      <c r="D591" s="42" t="s">
        <v>2803</v>
      </c>
      <c r="E591" s="42" t="s">
        <v>2804</v>
      </c>
      <c r="F591" s="42" t="s">
        <v>2805</v>
      </c>
      <c r="G591" s="42">
        <v>20</v>
      </c>
      <c r="H591" s="43"/>
      <c r="I591" s="43">
        <f t="shared" si="15"/>
        <v>0</v>
      </c>
      <c r="J591" s="42" t="s">
        <v>14</v>
      </c>
      <c r="K591" s="44">
        <v>20</v>
      </c>
    </row>
    <row r="592" spans="1:11" ht="20.100000000000001" customHeight="1">
      <c r="A592" s="41">
        <v>586</v>
      </c>
      <c r="B592" s="42" t="s">
        <v>2810</v>
      </c>
      <c r="C592" s="42">
        <v>40626949</v>
      </c>
      <c r="D592" s="42" t="s">
        <v>2811</v>
      </c>
      <c r="E592" s="42" t="s">
        <v>2812</v>
      </c>
      <c r="F592" s="42" t="s">
        <v>2805</v>
      </c>
      <c r="G592" s="42">
        <v>64</v>
      </c>
      <c r="H592" s="43" t="e">
        <f>VLOOKUP(C592,[1]Sheet4!$B$2:$H$344,7,FALSE)</f>
        <v>#N/A</v>
      </c>
      <c r="I592" s="43" t="e">
        <f t="shared" si="15"/>
        <v>#N/A</v>
      </c>
      <c r="J592" s="42" t="s">
        <v>14</v>
      </c>
      <c r="K592" s="44">
        <v>64</v>
      </c>
    </row>
    <row r="593" spans="1:11" ht="20.100000000000001" customHeight="1">
      <c r="A593" s="37">
        <v>587</v>
      </c>
      <c r="B593" s="42" t="s">
        <v>2813</v>
      </c>
      <c r="C593" s="42" t="s">
        <v>2814</v>
      </c>
      <c r="D593" s="42" t="s">
        <v>2815</v>
      </c>
      <c r="E593" s="42" t="s">
        <v>2816</v>
      </c>
      <c r="F593" s="42" t="s">
        <v>2805</v>
      </c>
      <c r="G593" s="42">
        <v>12</v>
      </c>
      <c r="H593" s="43"/>
      <c r="I593" s="43">
        <f t="shared" si="15"/>
        <v>0</v>
      </c>
      <c r="J593" s="42" t="s">
        <v>59</v>
      </c>
      <c r="K593" s="44">
        <v>12</v>
      </c>
    </row>
    <row r="594" spans="1:11" ht="20.100000000000001" customHeight="1">
      <c r="A594" s="41">
        <v>588</v>
      </c>
      <c r="B594" s="42" t="s">
        <v>2817</v>
      </c>
      <c r="C594" s="42">
        <v>40622557</v>
      </c>
      <c r="D594" s="42" t="s">
        <v>2818</v>
      </c>
      <c r="E594" s="42" t="s">
        <v>2819</v>
      </c>
      <c r="F594" s="42" t="s">
        <v>2805</v>
      </c>
      <c r="G594" s="42">
        <v>20</v>
      </c>
      <c r="H594" s="43" t="e">
        <f>VLOOKUP(C594,[1]Sheet4!$B$2:$H$344,7,FALSE)</f>
        <v>#N/A</v>
      </c>
      <c r="I594" s="43" t="e">
        <f t="shared" si="15"/>
        <v>#N/A</v>
      </c>
      <c r="J594" s="42" t="s">
        <v>14</v>
      </c>
      <c r="K594" s="44">
        <v>2</v>
      </c>
    </row>
    <row r="595" spans="1:11" ht="20.100000000000001" customHeight="1">
      <c r="A595" s="37">
        <v>589</v>
      </c>
      <c r="B595" s="42" t="s">
        <v>2820</v>
      </c>
      <c r="C595" s="42" t="s">
        <v>2821</v>
      </c>
      <c r="D595" s="42"/>
      <c r="E595" s="42"/>
      <c r="F595" s="42"/>
      <c r="G595" s="42">
        <v>9</v>
      </c>
      <c r="H595" s="43"/>
      <c r="I595" s="43">
        <f t="shared" si="15"/>
        <v>0</v>
      </c>
      <c r="J595" s="42" t="s">
        <v>14</v>
      </c>
      <c r="K595" s="44">
        <v>9</v>
      </c>
    </row>
    <row r="596" spans="1:11" ht="20.100000000000001" customHeight="1">
      <c r="A596" s="41">
        <v>590</v>
      </c>
      <c r="B596" s="42" t="s">
        <v>2822</v>
      </c>
      <c r="C596" s="42">
        <v>40627001</v>
      </c>
      <c r="D596" s="42" t="s">
        <v>2823</v>
      </c>
      <c r="E596" s="42" t="s">
        <v>2824</v>
      </c>
      <c r="F596" s="42" t="s">
        <v>2805</v>
      </c>
      <c r="G596" s="42">
        <v>10</v>
      </c>
      <c r="H596" s="43">
        <f>VLOOKUP(C596,[1]Sheet4!$B$2:$H$344,7,FALSE)</f>
        <v>141.80000000000001</v>
      </c>
      <c r="I596" s="43">
        <f t="shared" si="15"/>
        <v>1418</v>
      </c>
      <c r="J596" s="42" t="s">
        <v>14</v>
      </c>
      <c r="K596" s="44">
        <v>10</v>
      </c>
    </row>
    <row r="597" spans="1:11" ht="20.100000000000001" customHeight="1">
      <c r="A597" s="37">
        <v>591</v>
      </c>
      <c r="B597" s="42" t="s">
        <v>2825</v>
      </c>
      <c r="C597" s="42" t="s">
        <v>2826</v>
      </c>
      <c r="D597" s="42" t="s">
        <v>2827</v>
      </c>
      <c r="E597" s="42" t="s">
        <v>2828</v>
      </c>
      <c r="F597" s="42" t="s">
        <v>2805</v>
      </c>
      <c r="G597" s="42">
        <v>2</v>
      </c>
      <c r="H597" s="43"/>
      <c r="I597" s="43">
        <f t="shared" si="15"/>
        <v>0</v>
      </c>
      <c r="J597" s="42" t="s">
        <v>14</v>
      </c>
      <c r="K597" s="44">
        <v>2</v>
      </c>
    </row>
    <row r="598" spans="1:11" ht="20.100000000000001" customHeight="1">
      <c r="A598" s="41">
        <v>592</v>
      </c>
      <c r="B598" s="42" t="s">
        <v>2829</v>
      </c>
      <c r="C598" s="42">
        <v>40626991</v>
      </c>
      <c r="D598" s="42" t="s">
        <v>2830</v>
      </c>
      <c r="E598" s="42" t="s">
        <v>2831</v>
      </c>
      <c r="F598" s="42" t="s">
        <v>2805</v>
      </c>
      <c r="G598" s="42">
        <v>2</v>
      </c>
      <c r="H598" s="43">
        <f>VLOOKUP(C598,[1]Sheet4!$B$2:$H$344,7,FALSE)</f>
        <v>63.54</v>
      </c>
      <c r="I598" s="43">
        <f t="shared" si="15"/>
        <v>127.08</v>
      </c>
      <c r="J598" s="42" t="s">
        <v>14</v>
      </c>
      <c r="K598" s="44">
        <v>2</v>
      </c>
    </row>
    <row r="599" spans="1:11" ht="20.100000000000001" customHeight="1">
      <c r="A599" s="37">
        <v>593</v>
      </c>
      <c r="B599" s="42" t="s">
        <v>2832</v>
      </c>
      <c r="C599" s="42" t="s">
        <v>2833</v>
      </c>
      <c r="D599" s="42" t="s">
        <v>2834</v>
      </c>
      <c r="E599" s="42" t="s">
        <v>1373</v>
      </c>
      <c r="F599" s="42"/>
      <c r="G599" s="42">
        <v>48</v>
      </c>
      <c r="H599" s="43"/>
      <c r="I599" s="43">
        <f t="shared" si="15"/>
        <v>0</v>
      </c>
      <c r="J599" s="42" t="s">
        <v>59</v>
      </c>
      <c r="K599" s="44">
        <v>48</v>
      </c>
    </row>
    <row r="600" spans="1:11" ht="20.100000000000001" customHeight="1">
      <c r="A600" s="41">
        <v>594</v>
      </c>
      <c r="B600" s="42" t="s">
        <v>2835</v>
      </c>
      <c r="C600" s="42">
        <v>40635412</v>
      </c>
      <c r="D600" s="42" t="s">
        <v>2836</v>
      </c>
      <c r="E600" s="42" t="s">
        <v>2837</v>
      </c>
      <c r="F600" s="42"/>
      <c r="G600" s="42">
        <v>22</v>
      </c>
      <c r="H600" s="43">
        <f>VLOOKUP(C600,[1]Sheet4!$B$2:$H$344,7,FALSE)</f>
        <v>4.96</v>
      </c>
      <c r="I600" s="43">
        <f t="shared" si="15"/>
        <v>109.12</v>
      </c>
      <c r="J600" s="42" t="s">
        <v>14</v>
      </c>
      <c r="K600" s="44">
        <v>22</v>
      </c>
    </row>
    <row r="601" spans="1:11" ht="20.100000000000001" customHeight="1">
      <c r="A601" s="37">
        <v>595</v>
      </c>
      <c r="B601" s="42" t="s">
        <v>2838</v>
      </c>
      <c r="C601" s="42" t="s">
        <v>2839</v>
      </c>
      <c r="D601" s="42" t="s">
        <v>1779</v>
      </c>
      <c r="E601" s="42" t="s">
        <v>1780</v>
      </c>
      <c r="F601" s="42" t="s">
        <v>1774</v>
      </c>
      <c r="G601" s="42">
        <v>30</v>
      </c>
      <c r="H601" s="43"/>
      <c r="I601" s="43">
        <f t="shared" si="15"/>
        <v>0</v>
      </c>
      <c r="J601" s="42" t="s">
        <v>14</v>
      </c>
      <c r="K601" s="44">
        <v>30</v>
      </c>
    </row>
    <row r="602" spans="1:11" ht="20.100000000000001" customHeight="1">
      <c r="A602" s="41">
        <v>596</v>
      </c>
      <c r="B602" s="42" t="s">
        <v>2838</v>
      </c>
      <c r="C602" s="42" t="s">
        <v>2840</v>
      </c>
      <c r="D602" s="42" t="s">
        <v>1779</v>
      </c>
      <c r="E602" s="42" t="s">
        <v>1780</v>
      </c>
      <c r="F602" s="42" t="s">
        <v>1774</v>
      </c>
      <c r="G602" s="42">
        <v>28</v>
      </c>
      <c r="H602" s="43"/>
      <c r="I602" s="43">
        <f t="shared" si="15"/>
        <v>0</v>
      </c>
      <c r="J602" s="42" t="s">
        <v>14</v>
      </c>
      <c r="K602" s="44">
        <v>27</v>
      </c>
    </row>
    <row r="603" spans="1:11" ht="20.100000000000001" customHeight="1">
      <c r="A603" s="37">
        <v>597</v>
      </c>
      <c r="B603" s="42" t="s">
        <v>2838</v>
      </c>
      <c r="C603" s="42" t="s">
        <v>2841</v>
      </c>
      <c r="D603" s="42" t="s">
        <v>1779</v>
      </c>
      <c r="E603" s="42" t="s">
        <v>1780</v>
      </c>
      <c r="F603" s="42" t="s">
        <v>1774</v>
      </c>
      <c r="G603" s="42">
        <v>28</v>
      </c>
      <c r="H603" s="43"/>
      <c r="I603" s="43">
        <f t="shared" si="15"/>
        <v>0</v>
      </c>
      <c r="J603" s="42" t="s">
        <v>14</v>
      </c>
      <c r="K603" s="44">
        <v>20</v>
      </c>
    </row>
    <row r="604" spans="1:11" ht="20.100000000000001" customHeight="1">
      <c r="A604" s="41">
        <v>598</v>
      </c>
      <c r="B604" s="42" t="s">
        <v>2842</v>
      </c>
      <c r="C604" s="42" t="s">
        <v>2843</v>
      </c>
      <c r="D604" s="42" t="s">
        <v>2815</v>
      </c>
      <c r="E604" s="42" t="s">
        <v>1780</v>
      </c>
      <c r="F604" s="42" t="s">
        <v>1774</v>
      </c>
      <c r="G604" s="42">
        <v>49</v>
      </c>
      <c r="H604" s="43"/>
      <c r="I604" s="43">
        <f t="shared" si="15"/>
        <v>0</v>
      </c>
      <c r="J604" s="42" t="s">
        <v>14</v>
      </c>
      <c r="K604" s="44">
        <v>49</v>
      </c>
    </row>
    <row r="605" spans="1:11" ht="20.100000000000001" customHeight="1">
      <c r="A605" s="37">
        <v>599</v>
      </c>
      <c r="B605" s="42" t="s">
        <v>2842</v>
      </c>
      <c r="C605" s="42" t="s">
        <v>2844</v>
      </c>
      <c r="D605" s="42" t="s">
        <v>2815</v>
      </c>
      <c r="E605" s="42" t="s">
        <v>1780</v>
      </c>
      <c r="F605" s="42" t="s">
        <v>1774</v>
      </c>
      <c r="G605" s="42">
        <v>6</v>
      </c>
      <c r="H605" s="43"/>
      <c r="I605" s="43">
        <f t="shared" si="15"/>
        <v>0</v>
      </c>
      <c r="J605" s="42" t="s">
        <v>14</v>
      </c>
      <c r="K605" s="44">
        <v>6</v>
      </c>
    </row>
    <row r="606" spans="1:11" ht="20.100000000000001" customHeight="1">
      <c r="A606" s="41">
        <v>600</v>
      </c>
      <c r="B606" s="42" t="s">
        <v>2842</v>
      </c>
      <c r="C606" s="42" t="s">
        <v>2845</v>
      </c>
      <c r="D606" s="42" t="s">
        <v>2815</v>
      </c>
      <c r="E606" s="42" t="s">
        <v>1780</v>
      </c>
      <c r="F606" s="42" t="s">
        <v>1774</v>
      </c>
      <c r="G606" s="42">
        <v>4</v>
      </c>
      <c r="H606" s="43"/>
      <c r="I606" s="43">
        <f t="shared" si="15"/>
        <v>0</v>
      </c>
      <c r="J606" s="42" t="s">
        <v>14</v>
      </c>
      <c r="K606" s="44">
        <v>4</v>
      </c>
    </row>
    <row r="607" spans="1:11" ht="20.100000000000001" customHeight="1">
      <c r="A607" s="37">
        <v>601</v>
      </c>
      <c r="B607" s="42" t="s">
        <v>2842</v>
      </c>
      <c r="C607" s="42" t="s">
        <v>2846</v>
      </c>
      <c r="D607" s="42" t="s">
        <v>2815</v>
      </c>
      <c r="E607" s="42" t="s">
        <v>1780</v>
      </c>
      <c r="F607" s="42" t="s">
        <v>1781</v>
      </c>
      <c r="G607" s="42">
        <v>8</v>
      </c>
      <c r="H607" s="43"/>
      <c r="I607" s="43">
        <f t="shared" si="15"/>
        <v>0</v>
      </c>
      <c r="J607" s="42" t="s">
        <v>14</v>
      </c>
      <c r="K607" s="44">
        <v>8</v>
      </c>
    </row>
    <row r="608" spans="1:11" ht="20.100000000000001" customHeight="1">
      <c r="A608" s="41">
        <v>602</v>
      </c>
      <c r="B608" s="42" t="s">
        <v>2847</v>
      </c>
      <c r="C608" s="45">
        <v>40622577</v>
      </c>
      <c r="D608" s="45" t="s">
        <v>2848</v>
      </c>
      <c r="E608" s="42"/>
      <c r="F608" s="46"/>
      <c r="G608" s="42">
        <v>4</v>
      </c>
      <c r="H608" s="43">
        <f>VLOOKUP(C608,[1]Sheet4!$B$2:$H$344,7,FALSE)</f>
        <v>344.01</v>
      </c>
      <c r="I608" s="43">
        <f t="shared" si="15"/>
        <v>1376.04</v>
      </c>
      <c r="J608" s="45" t="s">
        <v>59</v>
      </c>
      <c r="K608" s="44">
        <v>4</v>
      </c>
    </row>
    <row r="609" spans="1:11" ht="20.100000000000001" customHeight="1">
      <c r="A609" s="37">
        <v>603</v>
      </c>
      <c r="B609" s="42" t="s">
        <v>2849</v>
      </c>
      <c r="C609" s="42">
        <v>40622697</v>
      </c>
      <c r="D609" s="42" t="s">
        <v>2850</v>
      </c>
      <c r="E609" s="42" t="s">
        <v>2851</v>
      </c>
      <c r="F609" s="42"/>
      <c r="G609" s="42">
        <v>25</v>
      </c>
      <c r="H609" s="43">
        <f>VLOOKUP(C609,[1]Sheet4!$B$2:$H$344,7,FALSE)</f>
        <v>22.2</v>
      </c>
      <c r="I609" s="43">
        <f t="shared" si="15"/>
        <v>555</v>
      </c>
      <c r="J609" s="42" t="s">
        <v>14</v>
      </c>
      <c r="K609" s="44">
        <v>25</v>
      </c>
    </row>
    <row r="610" spans="1:11" ht="20.100000000000001" customHeight="1">
      <c r="A610" s="41">
        <v>604</v>
      </c>
      <c r="B610" s="42" t="s">
        <v>2852</v>
      </c>
      <c r="C610" s="45" t="s">
        <v>2853</v>
      </c>
      <c r="D610" s="45" t="s">
        <v>1779</v>
      </c>
      <c r="E610" s="42"/>
      <c r="F610" s="46"/>
      <c r="G610" s="42">
        <v>125</v>
      </c>
      <c r="H610" s="43"/>
      <c r="I610" s="43">
        <f t="shared" si="15"/>
        <v>0</v>
      </c>
      <c r="J610" s="45" t="s">
        <v>14</v>
      </c>
      <c r="K610" s="44">
        <v>125</v>
      </c>
    </row>
    <row r="611" spans="1:11" ht="20.100000000000001" customHeight="1">
      <c r="A611" s="37">
        <v>605</v>
      </c>
      <c r="B611" s="42" t="s">
        <v>2854</v>
      </c>
      <c r="C611" s="42" t="s">
        <v>2855</v>
      </c>
      <c r="D611" s="42" t="s">
        <v>2856</v>
      </c>
      <c r="E611" s="42" t="s">
        <v>2857</v>
      </c>
      <c r="F611" s="42"/>
      <c r="G611" s="42">
        <v>5</v>
      </c>
      <c r="H611" s="43"/>
      <c r="I611" s="43">
        <f t="shared" si="15"/>
        <v>0</v>
      </c>
      <c r="J611" s="42" t="s">
        <v>14</v>
      </c>
      <c r="K611" s="44">
        <v>5</v>
      </c>
    </row>
    <row r="612" spans="1:11" ht="20.100000000000001" customHeight="1">
      <c r="A612" s="41">
        <v>606</v>
      </c>
      <c r="B612" s="42" t="s">
        <v>2858</v>
      </c>
      <c r="C612" s="45" t="s">
        <v>2859</v>
      </c>
      <c r="D612" s="45" t="s">
        <v>1779</v>
      </c>
      <c r="E612" s="42"/>
      <c r="F612" s="46"/>
      <c r="G612" s="42">
        <v>47</v>
      </c>
      <c r="H612" s="43"/>
      <c r="I612" s="43">
        <f t="shared" si="15"/>
        <v>0</v>
      </c>
      <c r="J612" s="45" t="s">
        <v>14</v>
      </c>
      <c r="K612" s="44">
        <v>47</v>
      </c>
    </row>
    <row r="613" spans="1:11" ht="20.100000000000001" customHeight="1">
      <c r="A613" s="37">
        <v>607</v>
      </c>
      <c r="B613" s="42" t="s">
        <v>2860</v>
      </c>
      <c r="C613" s="42">
        <v>40779147</v>
      </c>
      <c r="D613" s="42" t="s">
        <v>2861</v>
      </c>
      <c r="E613" s="42" t="s">
        <v>2862</v>
      </c>
      <c r="F613" s="42" t="s">
        <v>2863</v>
      </c>
      <c r="G613" s="42">
        <v>5</v>
      </c>
      <c r="H613" s="43">
        <f>VLOOKUP(C613,[1]Sheet4!$B$2:$H$344,7,FALSE)</f>
        <v>277.98</v>
      </c>
      <c r="I613" s="43">
        <f t="shared" si="15"/>
        <v>1389.9</v>
      </c>
      <c r="J613" s="42" t="s">
        <v>14</v>
      </c>
      <c r="K613" s="44">
        <v>5</v>
      </c>
    </row>
    <row r="614" spans="1:11" ht="20.100000000000001" customHeight="1">
      <c r="A614" s="41">
        <v>608</v>
      </c>
      <c r="B614" s="42" t="s">
        <v>2860</v>
      </c>
      <c r="C614" s="45">
        <v>40743536</v>
      </c>
      <c r="D614" s="45" t="s">
        <v>2864</v>
      </c>
      <c r="E614" s="42"/>
      <c r="F614" s="46"/>
      <c r="G614" s="42">
        <v>9</v>
      </c>
      <c r="H614" s="47">
        <v>45.86</v>
      </c>
      <c r="I614" s="47">
        <f t="shared" si="15"/>
        <v>412.74</v>
      </c>
      <c r="J614" s="45" t="s">
        <v>14</v>
      </c>
      <c r="K614" s="44">
        <v>9</v>
      </c>
    </row>
    <row r="615" spans="1:11" ht="20.100000000000001" customHeight="1">
      <c r="A615" s="37">
        <v>609</v>
      </c>
      <c r="B615" s="42" t="s">
        <v>2865</v>
      </c>
      <c r="C615" s="42">
        <v>40148365</v>
      </c>
      <c r="D615" s="42" t="s">
        <v>2866</v>
      </c>
      <c r="E615" s="42" t="s">
        <v>2867</v>
      </c>
      <c r="F615" s="42" t="s">
        <v>2868</v>
      </c>
      <c r="G615" s="42">
        <v>14</v>
      </c>
      <c r="H615" s="43" t="e">
        <f>VLOOKUP(C615,[1]Sheet4!$B$2:$H$344,7,FALSE)</f>
        <v>#N/A</v>
      </c>
      <c r="I615" s="43" t="e">
        <f t="shared" si="15"/>
        <v>#N/A</v>
      </c>
      <c r="J615" s="42" t="s">
        <v>14</v>
      </c>
      <c r="K615" s="44">
        <v>14</v>
      </c>
    </row>
    <row r="616" spans="1:11" ht="20.100000000000001" customHeight="1">
      <c r="A616" s="41">
        <v>610</v>
      </c>
      <c r="B616" s="42" t="s">
        <v>2869</v>
      </c>
      <c r="C616" s="42">
        <v>40664923</v>
      </c>
      <c r="D616" s="42" t="s">
        <v>2870</v>
      </c>
      <c r="E616" s="42" t="s">
        <v>2871</v>
      </c>
      <c r="F616" s="42" t="s">
        <v>2868</v>
      </c>
      <c r="G616" s="42">
        <v>1</v>
      </c>
      <c r="H616" s="43">
        <f>VLOOKUP(C616,[1]Sheet4!$B$2:$H$344,7,FALSE)</f>
        <v>46.61</v>
      </c>
      <c r="I616" s="43">
        <f t="shared" si="15"/>
        <v>46.61</v>
      </c>
      <c r="J616" s="42" t="s">
        <v>14</v>
      </c>
      <c r="K616" s="44">
        <v>1</v>
      </c>
    </row>
    <row r="617" spans="1:11" ht="20.100000000000001" customHeight="1">
      <c r="A617" s="37">
        <v>611</v>
      </c>
      <c r="B617" s="42" t="s">
        <v>2872</v>
      </c>
      <c r="C617" s="42">
        <v>40725326</v>
      </c>
      <c r="D617" s="42" t="s">
        <v>2605</v>
      </c>
      <c r="E617" s="42" t="s">
        <v>2606</v>
      </c>
      <c r="F617" s="42"/>
      <c r="G617" s="42">
        <v>3</v>
      </c>
      <c r="H617" s="43">
        <f>VLOOKUP(C617,[1]Sheet4!$B$2:$H$344,7,FALSE)</f>
        <v>221.92</v>
      </c>
      <c r="I617" s="43">
        <f t="shared" si="15"/>
        <v>665.76</v>
      </c>
      <c r="J617" s="42" t="s">
        <v>14</v>
      </c>
      <c r="K617" s="44">
        <v>3</v>
      </c>
    </row>
    <row r="618" spans="1:11" ht="20.100000000000001" customHeight="1">
      <c r="A618" s="41">
        <v>612</v>
      </c>
      <c r="B618" s="42" t="s">
        <v>2873</v>
      </c>
      <c r="C618" s="42">
        <v>40743606</v>
      </c>
      <c r="D618" s="42" t="s">
        <v>2874</v>
      </c>
      <c r="E618" s="42" t="s">
        <v>2875</v>
      </c>
      <c r="F618" s="42"/>
      <c r="G618" s="42">
        <v>7</v>
      </c>
      <c r="H618" s="43" t="e">
        <f>VLOOKUP(C618,[1]Sheet4!$B$2:$H$344,7,FALSE)</f>
        <v>#N/A</v>
      </c>
      <c r="I618" s="43" t="e">
        <f t="shared" si="15"/>
        <v>#N/A</v>
      </c>
      <c r="J618" s="42" t="s">
        <v>14</v>
      </c>
      <c r="K618" s="44">
        <v>7</v>
      </c>
    </row>
    <row r="619" spans="1:11" ht="20.100000000000001" customHeight="1">
      <c r="A619" s="37">
        <v>613</v>
      </c>
      <c r="B619" s="42" t="s">
        <v>2876</v>
      </c>
      <c r="C619" s="42">
        <v>40660983</v>
      </c>
      <c r="D619" s="42" t="s">
        <v>2877</v>
      </c>
      <c r="E619" s="42" t="s">
        <v>2878</v>
      </c>
      <c r="F619" s="42"/>
      <c r="G619" s="42">
        <v>2</v>
      </c>
      <c r="H619" s="43">
        <f>VLOOKUP(C619,[1]Sheet4!$B$2:$H$344,7,FALSE)</f>
        <v>605.37</v>
      </c>
      <c r="I619" s="43">
        <f t="shared" si="15"/>
        <v>1210.74</v>
      </c>
      <c r="J619" s="42" t="s">
        <v>14</v>
      </c>
      <c r="K619" s="44">
        <v>2</v>
      </c>
    </row>
    <row r="620" spans="1:11" ht="20.100000000000001" customHeight="1">
      <c r="A620" s="41">
        <v>614</v>
      </c>
      <c r="B620" s="42" t="s">
        <v>2879</v>
      </c>
      <c r="C620" s="42">
        <v>40722490</v>
      </c>
      <c r="D620" s="42" t="s">
        <v>2880</v>
      </c>
      <c r="E620" s="42" t="s">
        <v>2881</v>
      </c>
      <c r="F620" s="42"/>
      <c r="G620" s="42">
        <v>22</v>
      </c>
      <c r="H620" s="43">
        <f>VLOOKUP(C620,[1]Sheet4!$B$2:$H$344,7,FALSE)</f>
        <v>96.02</v>
      </c>
      <c r="I620" s="43">
        <f t="shared" si="15"/>
        <v>2112.44</v>
      </c>
      <c r="J620" s="42" t="s">
        <v>14</v>
      </c>
      <c r="K620" s="44">
        <v>22</v>
      </c>
    </row>
    <row r="621" spans="1:11" ht="20.100000000000001" customHeight="1">
      <c r="A621" s="37">
        <v>615</v>
      </c>
      <c r="B621" s="42" t="s">
        <v>2882</v>
      </c>
      <c r="C621" s="42">
        <v>40722473</v>
      </c>
      <c r="D621" s="42" t="s">
        <v>2883</v>
      </c>
      <c r="E621" s="42" t="s">
        <v>2884</v>
      </c>
      <c r="F621" s="42"/>
      <c r="G621" s="42">
        <v>20</v>
      </c>
      <c r="H621" s="43">
        <f>VLOOKUP(C621,[1]Sheet4!$B$2:$H$344,7,FALSE)</f>
        <v>90.56</v>
      </c>
      <c r="I621" s="43">
        <f t="shared" si="15"/>
        <v>1811.2</v>
      </c>
      <c r="J621" s="42" t="s">
        <v>14</v>
      </c>
      <c r="K621" s="44">
        <v>20</v>
      </c>
    </row>
    <row r="622" spans="1:11" ht="20.100000000000001" customHeight="1">
      <c r="A622" s="41">
        <v>616</v>
      </c>
      <c r="B622" s="42" t="s">
        <v>2885</v>
      </c>
      <c r="C622" s="42">
        <v>40740682</v>
      </c>
      <c r="D622" s="42" t="s">
        <v>2886</v>
      </c>
      <c r="E622" s="42" t="s">
        <v>2887</v>
      </c>
      <c r="F622" s="42"/>
      <c r="G622" s="42">
        <v>2</v>
      </c>
      <c r="H622" s="43">
        <f>VLOOKUP(C622,[1]Sheet4!$B$2:$H$344,7,FALSE)</f>
        <v>494.26</v>
      </c>
      <c r="I622" s="43">
        <f t="shared" si="15"/>
        <v>988.52</v>
      </c>
      <c r="J622" s="42" t="s">
        <v>14</v>
      </c>
      <c r="K622" s="44">
        <v>2</v>
      </c>
    </row>
    <row r="623" spans="1:11" ht="20.100000000000001" customHeight="1">
      <c r="A623" s="37">
        <v>617</v>
      </c>
      <c r="B623" s="42" t="s">
        <v>2888</v>
      </c>
      <c r="C623" s="42">
        <v>40728077</v>
      </c>
      <c r="D623" s="42" t="s">
        <v>2889</v>
      </c>
      <c r="E623" s="42" t="s">
        <v>2890</v>
      </c>
      <c r="F623" s="42"/>
      <c r="G623" s="42">
        <v>4</v>
      </c>
      <c r="H623" s="43">
        <f>VLOOKUP(C623,[1]Sheet4!$B$2:$H$344,7,FALSE)</f>
        <v>1684.49</v>
      </c>
      <c r="I623" s="43">
        <f t="shared" si="15"/>
        <v>6737.96</v>
      </c>
      <c r="J623" s="42" t="s">
        <v>14</v>
      </c>
      <c r="K623" s="44">
        <v>3</v>
      </c>
    </row>
    <row r="624" spans="1:11" ht="20.100000000000001" customHeight="1">
      <c r="A624" s="41">
        <v>618</v>
      </c>
      <c r="B624" s="42" t="s">
        <v>2891</v>
      </c>
      <c r="C624" s="42">
        <v>40551932</v>
      </c>
      <c r="D624" s="42" t="s">
        <v>2892</v>
      </c>
      <c r="E624" s="42" t="s">
        <v>2893</v>
      </c>
      <c r="F624" s="42" t="s">
        <v>234</v>
      </c>
      <c r="G624" s="42">
        <v>1</v>
      </c>
      <c r="H624" s="43">
        <f>VLOOKUP(C624,[1]Sheet4!$B$2:$H$344,7,FALSE)</f>
        <v>2207.66</v>
      </c>
      <c r="I624" s="43">
        <f t="shared" si="15"/>
        <v>2207.66</v>
      </c>
      <c r="J624" s="42" t="s">
        <v>14</v>
      </c>
      <c r="K624" s="44">
        <v>1</v>
      </c>
    </row>
    <row r="625" spans="1:11" ht="20.100000000000001" customHeight="1">
      <c r="A625" s="37">
        <v>619</v>
      </c>
      <c r="B625" s="42" t="s">
        <v>2894</v>
      </c>
      <c r="C625" s="42">
        <v>40630889</v>
      </c>
      <c r="D625" s="42" t="s">
        <v>2895</v>
      </c>
      <c r="E625" s="42" t="s">
        <v>2896</v>
      </c>
      <c r="F625" s="42"/>
      <c r="G625" s="42">
        <v>39</v>
      </c>
      <c r="H625" s="43">
        <f>VLOOKUP(C625,[1]Sheet4!$B$2:$H$344,7,FALSE)</f>
        <v>516.45000000000005</v>
      </c>
      <c r="I625" s="43">
        <f t="shared" si="15"/>
        <v>20141.550000000003</v>
      </c>
      <c r="J625" s="42" t="s">
        <v>14</v>
      </c>
      <c r="K625" s="44">
        <v>37</v>
      </c>
    </row>
    <row r="626" spans="1:11" ht="20.100000000000001" customHeight="1">
      <c r="A626" s="41">
        <v>620</v>
      </c>
      <c r="B626" s="42" t="s">
        <v>2897</v>
      </c>
      <c r="C626" s="42">
        <v>40630890</v>
      </c>
      <c r="D626" s="42" t="s">
        <v>2898</v>
      </c>
      <c r="E626" s="55" t="s">
        <v>2899</v>
      </c>
      <c r="F626" s="42"/>
      <c r="G626" s="42">
        <v>15</v>
      </c>
      <c r="H626" s="43">
        <f>VLOOKUP(C626,[1]Sheet4!$B$2:$H$344,7,FALSE)</f>
        <v>1452.58</v>
      </c>
      <c r="I626" s="43">
        <f t="shared" si="15"/>
        <v>21788.699999999997</v>
      </c>
      <c r="J626" s="42" t="s">
        <v>14</v>
      </c>
      <c r="K626" s="44">
        <v>14</v>
      </c>
    </row>
    <row r="627" spans="1:11" ht="20.100000000000001" customHeight="1">
      <c r="A627" s="37">
        <v>621</v>
      </c>
      <c r="B627" s="42" t="s">
        <v>2900</v>
      </c>
      <c r="C627" s="42">
        <v>40640049</v>
      </c>
      <c r="D627" s="42" t="s">
        <v>2901</v>
      </c>
      <c r="E627" s="42" t="s">
        <v>2902</v>
      </c>
      <c r="F627" s="42"/>
      <c r="G627" s="42">
        <v>8</v>
      </c>
      <c r="H627" s="43" t="e">
        <f>VLOOKUP(C627,[1]Sheet4!$B$2:$H$344,7,FALSE)</f>
        <v>#N/A</v>
      </c>
      <c r="I627" s="43" t="e">
        <f t="shared" si="15"/>
        <v>#N/A</v>
      </c>
      <c r="J627" s="42" t="s">
        <v>14</v>
      </c>
      <c r="K627" s="44">
        <v>8</v>
      </c>
    </row>
    <row r="628" spans="1:11" ht="20.100000000000001" customHeight="1">
      <c r="A628" s="41">
        <v>622</v>
      </c>
      <c r="B628" s="42" t="s">
        <v>2903</v>
      </c>
      <c r="C628" s="42">
        <v>40743535</v>
      </c>
      <c r="D628" s="42" t="s">
        <v>2904</v>
      </c>
      <c r="E628" s="42" t="s">
        <v>2905</v>
      </c>
      <c r="F628" s="42"/>
      <c r="G628" s="42">
        <v>11</v>
      </c>
      <c r="H628" s="43">
        <f>VLOOKUP(C628,[1]Sheet4!$B$2:$H$344,7,FALSE)</f>
        <v>45.86</v>
      </c>
      <c r="I628" s="43">
        <f t="shared" si="15"/>
        <v>504.46</v>
      </c>
      <c r="J628" s="42" t="s">
        <v>14</v>
      </c>
      <c r="K628" s="44">
        <v>11</v>
      </c>
    </row>
    <row r="629" spans="1:11" ht="20.100000000000001" customHeight="1">
      <c r="A629" s="37">
        <v>623</v>
      </c>
      <c r="B629" s="42" t="s">
        <v>2906</v>
      </c>
      <c r="C629" s="42">
        <v>40722480</v>
      </c>
      <c r="D629" s="42" t="s">
        <v>2907</v>
      </c>
      <c r="E629" s="42" t="s">
        <v>2908</v>
      </c>
      <c r="F629" s="42"/>
      <c r="G629" s="42">
        <v>7</v>
      </c>
      <c r="H629" s="43">
        <f>VLOOKUP(C629,[1]Sheet4!$B$2:$H$344,7,FALSE)</f>
        <v>34.130000000000003</v>
      </c>
      <c r="I629" s="43">
        <f t="shared" si="15"/>
        <v>238.91000000000003</v>
      </c>
      <c r="J629" s="42" t="s">
        <v>14</v>
      </c>
      <c r="K629" s="44">
        <v>7</v>
      </c>
    </row>
    <row r="630" spans="1:11" ht="20.100000000000001" customHeight="1">
      <c r="A630" s="41">
        <v>624</v>
      </c>
      <c r="B630" s="42" t="s">
        <v>2909</v>
      </c>
      <c r="C630" s="45">
        <v>40743537</v>
      </c>
      <c r="D630" s="45" t="s">
        <v>2910</v>
      </c>
      <c r="E630" s="42"/>
      <c r="F630" s="46"/>
      <c r="G630" s="42">
        <v>2</v>
      </c>
      <c r="H630" s="47">
        <v>53.75</v>
      </c>
      <c r="I630" s="47">
        <f t="shared" si="15"/>
        <v>107.5</v>
      </c>
      <c r="J630" s="45" t="s">
        <v>14</v>
      </c>
      <c r="K630" s="44">
        <v>2</v>
      </c>
    </row>
    <row r="631" spans="1:11" ht="20.100000000000001" customHeight="1">
      <c r="A631" s="37">
        <v>625</v>
      </c>
      <c r="B631" s="42" t="s">
        <v>2911</v>
      </c>
      <c r="C631" s="42">
        <v>40779148</v>
      </c>
      <c r="D631" s="42" t="s">
        <v>2912</v>
      </c>
      <c r="E631" s="42" t="s">
        <v>2913</v>
      </c>
      <c r="F631" s="42"/>
      <c r="G631" s="42">
        <v>5</v>
      </c>
      <c r="H631" s="43">
        <f>VLOOKUP(C631,[1]Sheet4!$B$2:$H$344,7,FALSE)</f>
        <v>60.46</v>
      </c>
      <c r="I631" s="43">
        <f t="shared" si="15"/>
        <v>302.3</v>
      </c>
      <c r="J631" s="42" t="s">
        <v>14</v>
      </c>
      <c r="K631" s="44">
        <v>5</v>
      </c>
    </row>
    <row r="632" spans="1:11" ht="20.100000000000001" customHeight="1">
      <c r="A632" s="41">
        <v>626</v>
      </c>
      <c r="B632" s="42" t="s">
        <v>2914</v>
      </c>
      <c r="C632" s="42">
        <v>40549528</v>
      </c>
      <c r="D632" s="42" t="s">
        <v>2915</v>
      </c>
      <c r="E632" s="42" t="s">
        <v>2916</v>
      </c>
      <c r="F632" s="42"/>
      <c r="G632" s="42">
        <v>26</v>
      </c>
      <c r="H632" s="43">
        <f>VLOOKUP(C632,[1]Sheet4!$B$2:$H$344,7,FALSE)</f>
        <v>62.01</v>
      </c>
      <c r="I632" s="43">
        <f t="shared" si="15"/>
        <v>1612.26</v>
      </c>
      <c r="J632" s="42" t="s">
        <v>14</v>
      </c>
      <c r="K632" s="44">
        <v>26</v>
      </c>
    </row>
    <row r="633" spans="1:11" ht="20.100000000000001" customHeight="1">
      <c r="A633" s="37">
        <v>627</v>
      </c>
      <c r="B633" s="42" t="s">
        <v>2917</v>
      </c>
      <c r="C633" s="42">
        <v>40251949</v>
      </c>
      <c r="D633" s="42" t="s">
        <v>2918</v>
      </c>
      <c r="E633" s="42" t="s">
        <v>2919</v>
      </c>
      <c r="F633" s="42"/>
      <c r="G633" s="42">
        <v>14</v>
      </c>
      <c r="H633" s="43">
        <f>VLOOKUP(C633,[1]Sheet4!$B$2:$H$344,7,FALSE)</f>
        <v>203.21</v>
      </c>
      <c r="I633" s="43">
        <f t="shared" si="15"/>
        <v>2844.94</v>
      </c>
      <c r="J633" s="42" t="s">
        <v>14</v>
      </c>
      <c r="K633" s="44">
        <v>14</v>
      </c>
    </row>
    <row r="634" spans="1:11" ht="20.100000000000001" customHeight="1">
      <c r="A634" s="41">
        <v>628</v>
      </c>
      <c r="B634" s="42" t="s">
        <v>2920</v>
      </c>
      <c r="C634" s="42">
        <v>40722472</v>
      </c>
      <c r="D634" s="42" t="s">
        <v>2921</v>
      </c>
      <c r="E634" s="42" t="s">
        <v>2922</v>
      </c>
      <c r="F634" s="42"/>
      <c r="G634" s="42">
        <v>17</v>
      </c>
      <c r="H634" s="43">
        <f>VLOOKUP(C634,[1]Sheet4!$B$2:$H$344,7,FALSE)</f>
        <v>100.51</v>
      </c>
      <c r="I634" s="43">
        <f t="shared" si="15"/>
        <v>1708.67</v>
      </c>
      <c r="J634" s="42" t="s">
        <v>14</v>
      </c>
      <c r="K634" s="44">
        <v>17</v>
      </c>
    </row>
    <row r="635" spans="1:11" ht="20.100000000000001" customHeight="1">
      <c r="A635" s="37">
        <v>629</v>
      </c>
      <c r="B635" s="42" t="s">
        <v>2923</v>
      </c>
      <c r="C635" s="42">
        <v>40722488</v>
      </c>
      <c r="D635" s="42" t="s">
        <v>2924</v>
      </c>
      <c r="E635" s="42" t="s">
        <v>2925</v>
      </c>
      <c r="F635" s="42"/>
      <c r="G635" s="42">
        <v>30</v>
      </c>
      <c r="H635" s="43">
        <f>VLOOKUP(C635,[1]Sheet4!$B$2:$H$344,7,FALSE)</f>
        <v>46.87</v>
      </c>
      <c r="I635" s="43">
        <f t="shared" ref="I635:I645" si="16">H635*G635</f>
        <v>1406.1</v>
      </c>
      <c r="J635" s="42" t="s">
        <v>14</v>
      </c>
      <c r="K635" s="44">
        <v>29</v>
      </c>
    </row>
    <row r="636" spans="1:11" ht="20.100000000000001" customHeight="1">
      <c r="A636" s="41">
        <v>630</v>
      </c>
      <c r="B636" s="42" t="s">
        <v>2926</v>
      </c>
      <c r="C636" s="42" t="s">
        <v>2927</v>
      </c>
      <c r="D636" s="42"/>
      <c r="E636" s="42"/>
      <c r="F636" s="42"/>
      <c r="G636" s="42">
        <v>14</v>
      </c>
      <c r="H636" s="43"/>
      <c r="I636" s="43">
        <f t="shared" si="16"/>
        <v>0</v>
      </c>
      <c r="J636" s="42" t="s">
        <v>14</v>
      </c>
      <c r="K636" s="44">
        <v>14</v>
      </c>
    </row>
    <row r="637" spans="1:11" ht="20.100000000000001" customHeight="1">
      <c r="A637" s="37">
        <v>631</v>
      </c>
      <c r="B637" s="42" t="s">
        <v>2928</v>
      </c>
      <c r="C637" s="42" t="s">
        <v>2929</v>
      </c>
      <c r="D637" s="42" t="s">
        <v>2930</v>
      </c>
      <c r="E637" s="42"/>
      <c r="F637" s="42"/>
      <c r="G637" s="42">
        <v>1</v>
      </c>
      <c r="H637" s="43"/>
      <c r="I637" s="43">
        <f t="shared" si="16"/>
        <v>0</v>
      </c>
      <c r="J637" s="42" t="s">
        <v>14</v>
      </c>
      <c r="K637" s="44">
        <v>1</v>
      </c>
    </row>
    <row r="638" spans="1:11" ht="20.100000000000001" customHeight="1">
      <c r="A638" s="41">
        <v>632</v>
      </c>
      <c r="B638" s="42" t="s">
        <v>2931</v>
      </c>
      <c r="C638" s="42">
        <v>40722503</v>
      </c>
      <c r="D638" s="42" t="s">
        <v>2932</v>
      </c>
      <c r="E638" s="42"/>
      <c r="F638" s="42"/>
      <c r="G638" s="42">
        <v>6</v>
      </c>
      <c r="H638" s="43" t="e">
        <f>VLOOKUP(C638,[1]Sheet4!$B$2:$H$344,7,FALSE)</f>
        <v>#N/A</v>
      </c>
      <c r="I638" s="43" t="e">
        <f t="shared" si="16"/>
        <v>#N/A</v>
      </c>
      <c r="J638" s="42" t="s">
        <v>14</v>
      </c>
      <c r="K638" s="44">
        <v>6</v>
      </c>
    </row>
    <row r="639" spans="1:11" ht="20.100000000000001" customHeight="1">
      <c r="A639" s="37">
        <v>633</v>
      </c>
      <c r="B639" s="42" t="s">
        <v>2933</v>
      </c>
      <c r="C639" s="42">
        <v>40630859</v>
      </c>
      <c r="D639" s="42" t="s">
        <v>2934</v>
      </c>
      <c r="E639" s="42"/>
      <c r="F639" s="42"/>
      <c r="G639" s="42">
        <v>3</v>
      </c>
      <c r="H639" s="43" t="e">
        <f>VLOOKUP(C639,[1]Sheet4!$B$2:$H$344,7,FALSE)</f>
        <v>#N/A</v>
      </c>
      <c r="I639" s="43" t="e">
        <f t="shared" si="16"/>
        <v>#N/A</v>
      </c>
      <c r="J639" s="42" t="s">
        <v>14</v>
      </c>
      <c r="K639" s="44">
        <v>2</v>
      </c>
    </row>
    <row r="640" spans="1:11" ht="20.100000000000001" customHeight="1">
      <c r="A640" s="41">
        <v>634</v>
      </c>
      <c r="B640" s="42" t="s">
        <v>2935</v>
      </c>
      <c r="C640" s="42" t="s">
        <v>2936</v>
      </c>
      <c r="D640" s="42" t="s">
        <v>2937</v>
      </c>
      <c r="E640" s="42" t="s">
        <v>2938</v>
      </c>
      <c r="F640" s="42" t="s">
        <v>2939</v>
      </c>
      <c r="G640" s="42">
        <v>20</v>
      </c>
      <c r="H640" s="43"/>
      <c r="I640" s="43">
        <f t="shared" si="16"/>
        <v>0</v>
      </c>
      <c r="J640" s="42" t="s">
        <v>14</v>
      </c>
      <c r="K640" s="44">
        <v>20</v>
      </c>
    </row>
    <row r="641" spans="1:11" ht="20.100000000000001" customHeight="1">
      <c r="A641" s="37">
        <v>635</v>
      </c>
      <c r="B641" s="42" t="s">
        <v>2940</v>
      </c>
      <c r="C641" s="42">
        <v>40760844</v>
      </c>
      <c r="D641" s="42" t="s">
        <v>610</v>
      </c>
      <c r="E641" s="42" t="s">
        <v>2941</v>
      </c>
      <c r="F641" s="42"/>
      <c r="G641" s="42">
        <v>10</v>
      </c>
      <c r="H641" s="43">
        <f>VLOOKUP(C641,[1]Sheet4!$B$2:$H$344,7,FALSE)</f>
        <v>36.58</v>
      </c>
      <c r="I641" s="43">
        <f t="shared" si="16"/>
        <v>365.79999999999995</v>
      </c>
      <c r="J641" s="42" t="s">
        <v>14</v>
      </c>
      <c r="K641" s="44">
        <v>10</v>
      </c>
    </row>
    <row r="642" spans="1:11" ht="20.100000000000001" customHeight="1">
      <c r="A642" s="41">
        <v>636</v>
      </c>
      <c r="B642" s="42" t="s">
        <v>2942</v>
      </c>
      <c r="C642" s="42" t="s">
        <v>2943</v>
      </c>
      <c r="D642" s="42" t="s">
        <v>2944</v>
      </c>
      <c r="E642" s="42" t="s">
        <v>2945</v>
      </c>
      <c r="F642" s="42"/>
      <c r="G642" s="42">
        <v>40</v>
      </c>
      <c r="H642" s="43"/>
      <c r="I642" s="43">
        <f t="shared" si="16"/>
        <v>0</v>
      </c>
      <c r="J642" s="42" t="s">
        <v>59</v>
      </c>
      <c r="K642" s="44">
        <v>39</v>
      </c>
    </row>
    <row r="643" spans="1:11" ht="20.100000000000001" customHeight="1">
      <c r="A643" s="37">
        <v>637</v>
      </c>
      <c r="B643" s="42" t="s">
        <v>2946</v>
      </c>
      <c r="C643" s="42">
        <v>40630883</v>
      </c>
      <c r="D643" s="42" t="s">
        <v>2947</v>
      </c>
      <c r="E643" s="42" t="s">
        <v>2948</v>
      </c>
      <c r="F643" s="42" t="s">
        <v>2949</v>
      </c>
      <c r="G643" s="42">
        <v>1</v>
      </c>
      <c r="H643" s="43">
        <f>VLOOKUP(C643,[1]Sheet4!$B$2:$H$344,7,FALSE)</f>
        <v>732.08</v>
      </c>
      <c r="I643" s="43">
        <f t="shared" si="16"/>
        <v>732.08</v>
      </c>
      <c r="J643" s="42" t="s">
        <v>14</v>
      </c>
      <c r="K643" s="44">
        <v>1</v>
      </c>
    </row>
    <row r="644" spans="1:11" ht="20.100000000000001" customHeight="1">
      <c r="A644" s="41">
        <v>638</v>
      </c>
      <c r="B644" s="42" t="s">
        <v>2950</v>
      </c>
      <c r="C644" s="42">
        <v>40725333</v>
      </c>
      <c r="D644" s="42" t="s">
        <v>2951</v>
      </c>
      <c r="E644" s="42" t="s">
        <v>2952</v>
      </c>
      <c r="F644" s="42"/>
      <c r="G644" s="42">
        <v>17</v>
      </c>
      <c r="H644" s="43">
        <f>VLOOKUP(C644,[1]Sheet4!$B$2:$H$344,7,FALSE)</f>
        <v>269.41000000000003</v>
      </c>
      <c r="I644" s="43">
        <f t="shared" si="16"/>
        <v>4579.97</v>
      </c>
      <c r="J644" s="42" t="s">
        <v>14</v>
      </c>
      <c r="K644" s="44">
        <v>17</v>
      </c>
    </row>
    <row r="645" spans="1:11" ht="20.100000000000001" customHeight="1">
      <c r="A645" s="37">
        <v>639</v>
      </c>
      <c r="B645" s="42" t="s">
        <v>2953</v>
      </c>
      <c r="C645" s="42">
        <v>40137799</v>
      </c>
      <c r="D645" s="42" t="s">
        <v>2954</v>
      </c>
      <c r="E645" s="42" t="s">
        <v>2955</v>
      </c>
      <c r="F645" s="42"/>
      <c r="G645" s="42">
        <v>12</v>
      </c>
      <c r="H645" s="43">
        <f>VLOOKUP(C645,[1]Sheet4!$B$2:$H$344,7,FALSE)</f>
        <v>188.47</v>
      </c>
      <c r="I645" s="43">
        <f t="shared" si="16"/>
        <v>2261.64</v>
      </c>
      <c r="J645" s="42" t="s">
        <v>14</v>
      </c>
      <c r="K645" s="44">
        <v>12</v>
      </c>
    </row>
    <row r="646" spans="1:11" ht="20.100000000000001" customHeight="1">
      <c r="A646" s="41">
        <v>640</v>
      </c>
      <c r="B646" s="42" t="s">
        <v>2956</v>
      </c>
      <c r="C646" s="45" t="s">
        <v>2957</v>
      </c>
      <c r="D646" s="45" t="s">
        <v>2958</v>
      </c>
      <c r="E646" s="42"/>
      <c r="F646" s="46"/>
      <c r="G646" s="42">
        <v>11</v>
      </c>
      <c r="H646" s="47"/>
      <c r="I646" s="47"/>
      <c r="J646" s="45" t="s">
        <v>14</v>
      </c>
      <c r="K646" s="44">
        <v>11</v>
      </c>
    </row>
    <row r="647" spans="1:11" ht="20.100000000000001" customHeight="1">
      <c r="A647" s="37">
        <v>641</v>
      </c>
      <c r="B647" s="42" t="s">
        <v>2959</v>
      </c>
      <c r="C647" s="42">
        <v>40666981</v>
      </c>
      <c r="D647" s="42" t="s">
        <v>2960</v>
      </c>
      <c r="E647" s="42" t="s">
        <v>2961</v>
      </c>
      <c r="F647" s="42"/>
      <c r="G647" s="42">
        <v>21</v>
      </c>
      <c r="H647" s="43">
        <f>VLOOKUP(C647,[1]Sheet4!$B$2:$H$344,7,FALSE)</f>
        <v>110.44</v>
      </c>
      <c r="I647" s="43">
        <f t="shared" ref="I647:I661" si="17">H647*G647</f>
        <v>2319.2399999999998</v>
      </c>
      <c r="J647" s="42" t="s">
        <v>14</v>
      </c>
      <c r="K647" s="44">
        <v>21</v>
      </c>
    </row>
    <row r="648" spans="1:11" ht="20.100000000000001" customHeight="1">
      <c r="A648" s="41">
        <v>642</v>
      </c>
      <c r="B648" s="42" t="s">
        <v>2962</v>
      </c>
      <c r="C648" s="45" t="s">
        <v>2963</v>
      </c>
      <c r="D648" s="45" t="s">
        <v>2964</v>
      </c>
      <c r="E648" s="42"/>
      <c r="F648" s="46"/>
      <c r="G648" s="42">
        <v>1</v>
      </c>
      <c r="H648" s="47"/>
      <c r="I648" s="47"/>
      <c r="J648" s="45" t="s">
        <v>14</v>
      </c>
      <c r="K648" s="44">
        <v>1</v>
      </c>
    </row>
    <row r="649" spans="1:11" ht="20.100000000000001" customHeight="1">
      <c r="A649" s="37">
        <v>643</v>
      </c>
      <c r="B649" s="42" t="s">
        <v>2965</v>
      </c>
      <c r="C649" s="42">
        <v>40722574</v>
      </c>
      <c r="D649" s="42" t="s">
        <v>2966</v>
      </c>
      <c r="E649" s="42" t="s">
        <v>2967</v>
      </c>
      <c r="F649" s="42"/>
      <c r="G649" s="42">
        <v>2</v>
      </c>
      <c r="H649" s="43">
        <f>VLOOKUP(C649,[1]Sheet4!$B$2:$H$344,7,FALSE)</f>
        <v>34.130000000000003</v>
      </c>
      <c r="I649" s="43">
        <f t="shared" si="17"/>
        <v>68.260000000000005</v>
      </c>
      <c r="J649" s="42" t="s">
        <v>14</v>
      </c>
      <c r="K649" s="44">
        <v>2</v>
      </c>
    </row>
    <row r="650" spans="1:11" ht="20.100000000000001" customHeight="1">
      <c r="A650" s="41">
        <v>644</v>
      </c>
      <c r="B650" s="42" t="s">
        <v>2968</v>
      </c>
      <c r="C650" s="42" t="s">
        <v>2969</v>
      </c>
      <c r="D650" s="42"/>
      <c r="E650" s="42"/>
      <c r="F650" s="42"/>
      <c r="G650" s="42">
        <v>2</v>
      </c>
      <c r="H650" s="43"/>
      <c r="I650" s="43">
        <f t="shared" si="17"/>
        <v>0</v>
      </c>
      <c r="J650" s="42" t="s">
        <v>14</v>
      </c>
      <c r="K650" s="44">
        <v>2</v>
      </c>
    </row>
    <row r="651" spans="1:11" ht="20.100000000000001" customHeight="1">
      <c r="A651" s="37">
        <v>645</v>
      </c>
      <c r="B651" s="42" t="s">
        <v>2968</v>
      </c>
      <c r="C651" s="42">
        <v>40087666</v>
      </c>
      <c r="D651" s="42" t="s">
        <v>2970</v>
      </c>
      <c r="E651" s="42" t="s">
        <v>2971</v>
      </c>
      <c r="F651" s="42"/>
      <c r="G651" s="42">
        <v>1</v>
      </c>
      <c r="H651" s="43">
        <f>VLOOKUP(C651,[1]Sheet4!$B$2:$H$344,7,FALSE)</f>
        <v>1414.47</v>
      </c>
      <c r="I651" s="43">
        <f t="shared" si="17"/>
        <v>1414.47</v>
      </c>
      <c r="J651" s="42" t="s">
        <v>14</v>
      </c>
      <c r="K651" s="44">
        <v>1</v>
      </c>
    </row>
    <row r="652" spans="1:11" ht="20.100000000000001" customHeight="1">
      <c r="A652" s="41">
        <v>646</v>
      </c>
      <c r="B652" s="42" t="s">
        <v>2968</v>
      </c>
      <c r="C652" s="42" t="s">
        <v>2972</v>
      </c>
      <c r="D652" s="42" t="s">
        <v>2973</v>
      </c>
      <c r="E652" s="42" t="s">
        <v>2974</v>
      </c>
      <c r="F652" s="42"/>
      <c r="G652" s="42">
        <v>1</v>
      </c>
      <c r="H652" s="43"/>
      <c r="I652" s="43">
        <f t="shared" si="17"/>
        <v>0</v>
      </c>
      <c r="J652" s="42" t="s">
        <v>14</v>
      </c>
      <c r="K652" s="44">
        <v>1</v>
      </c>
    </row>
    <row r="653" spans="1:11" ht="20.100000000000001" customHeight="1">
      <c r="A653" s="37">
        <v>647</v>
      </c>
      <c r="B653" s="42" t="s">
        <v>2975</v>
      </c>
      <c r="C653" s="42">
        <v>40139045</v>
      </c>
      <c r="D653" s="42" t="s">
        <v>2976</v>
      </c>
      <c r="E653" s="42" t="s">
        <v>2977</v>
      </c>
      <c r="F653" s="42"/>
      <c r="G653" s="42">
        <v>3</v>
      </c>
      <c r="H653" s="43" t="e">
        <f>VLOOKUP(C653,[1]Sheet4!$B$2:$H$344,7,FALSE)</f>
        <v>#N/A</v>
      </c>
      <c r="I653" s="43" t="e">
        <f t="shared" si="17"/>
        <v>#N/A</v>
      </c>
      <c r="J653" s="42" t="s">
        <v>14</v>
      </c>
      <c r="K653" s="44">
        <v>3</v>
      </c>
    </row>
    <row r="654" spans="1:11" ht="20.100000000000001" customHeight="1">
      <c r="A654" s="41">
        <v>648</v>
      </c>
      <c r="B654" s="42" t="s">
        <v>2978</v>
      </c>
      <c r="C654" s="42">
        <v>40698352</v>
      </c>
      <c r="D654" s="42" t="s">
        <v>2979</v>
      </c>
      <c r="E654" s="42" t="s">
        <v>2980</v>
      </c>
      <c r="F654" s="42"/>
      <c r="G654" s="42">
        <v>1</v>
      </c>
      <c r="H654" s="43">
        <f>VLOOKUP(C654,[1]Sheet4!$B$2:$H$344,7,FALSE)</f>
        <v>88.76</v>
      </c>
      <c r="I654" s="43">
        <f t="shared" si="17"/>
        <v>88.76</v>
      </c>
      <c r="J654" s="42" t="s">
        <v>14</v>
      </c>
      <c r="K654" s="44">
        <v>1</v>
      </c>
    </row>
    <row r="655" spans="1:11" ht="20.100000000000001" customHeight="1">
      <c r="A655" s="37">
        <v>649</v>
      </c>
      <c r="B655" s="42" t="s">
        <v>2981</v>
      </c>
      <c r="C655" s="42">
        <v>40698398</v>
      </c>
      <c r="D655" s="42" t="s">
        <v>2982</v>
      </c>
      <c r="E655" s="42" t="s">
        <v>593</v>
      </c>
      <c r="F655" s="42" t="s">
        <v>2983</v>
      </c>
      <c r="G655" s="42">
        <v>2</v>
      </c>
      <c r="H655" s="43" t="e">
        <f>VLOOKUP(C655,[1]Sheet4!$B$2:$H$344,7,FALSE)</f>
        <v>#N/A</v>
      </c>
      <c r="I655" s="43" t="e">
        <f t="shared" si="17"/>
        <v>#N/A</v>
      </c>
      <c r="J655" s="42" t="s">
        <v>14</v>
      </c>
      <c r="K655" s="44">
        <v>2</v>
      </c>
    </row>
    <row r="656" spans="1:11" ht="20.100000000000001" customHeight="1">
      <c r="A656" s="41">
        <v>650</v>
      </c>
      <c r="B656" s="42" t="s">
        <v>2984</v>
      </c>
      <c r="C656" s="42">
        <v>40779146</v>
      </c>
      <c r="D656" s="42" t="s">
        <v>2912</v>
      </c>
      <c r="E656" s="42" t="s">
        <v>2913</v>
      </c>
      <c r="F656" s="42"/>
      <c r="G656" s="42">
        <v>5</v>
      </c>
      <c r="H656" s="43">
        <f>VLOOKUP(C656,[1]Sheet4!$B$2:$H$344,7,FALSE)</f>
        <v>56.07</v>
      </c>
      <c r="I656" s="43">
        <f t="shared" si="17"/>
        <v>280.35000000000002</v>
      </c>
      <c r="J656" s="42" t="s">
        <v>14</v>
      </c>
      <c r="K656" s="44">
        <v>5</v>
      </c>
    </row>
    <row r="657" spans="1:11" ht="20.100000000000001" customHeight="1">
      <c r="A657" s="37">
        <v>651</v>
      </c>
      <c r="B657" s="42" t="s">
        <v>2985</v>
      </c>
      <c r="C657" s="42">
        <v>40248648</v>
      </c>
      <c r="D657" s="42" t="s">
        <v>2986</v>
      </c>
      <c r="E657" s="42" t="s">
        <v>2987</v>
      </c>
      <c r="F657" s="42"/>
      <c r="G657" s="42">
        <v>20</v>
      </c>
      <c r="H657" s="43">
        <f>VLOOKUP(C657,[1]Sheet4!$B$2:$H$344,7,FALSE)</f>
        <v>1.72</v>
      </c>
      <c r="I657" s="43">
        <f t="shared" si="17"/>
        <v>34.4</v>
      </c>
      <c r="J657" s="42" t="s">
        <v>14</v>
      </c>
      <c r="K657" s="44">
        <v>20</v>
      </c>
    </row>
    <row r="658" spans="1:11" ht="20.100000000000001" customHeight="1">
      <c r="A658" s="41">
        <v>652</v>
      </c>
      <c r="B658" s="42" t="s">
        <v>2988</v>
      </c>
      <c r="C658" s="42">
        <v>40248672</v>
      </c>
      <c r="D658" s="42" t="s">
        <v>2989</v>
      </c>
      <c r="E658" s="42" t="s">
        <v>2990</v>
      </c>
      <c r="F658" s="42"/>
      <c r="G658" s="42">
        <v>10</v>
      </c>
      <c r="H658" s="43">
        <f>VLOOKUP(C658,[1]Sheet4!$B$2:$H$344,7,FALSE)</f>
        <v>10.17</v>
      </c>
      <c r="I658" s="43">
        <f t="shared" si="17"/>
        <v>101.7</v>
      </c>
      <c r="J658" s="42" t="s">
        <v>14</v>
      </c>
      <c r="K658" s="44">
        <v>10</v>
      </c>
    </row>
    <row r="659" spans="1:11" ht="20.100000000000001" customHeight="1">
      <c r="A659" s="37">
        <v>653</v>
      </c>
      <c r="B659" s="42" t="s">
        <v>2991</v>
      </c>
      <c r="C659" s="42">
        <v>40722482</v>
      </c>
      <c r="D659" s="42" t="s">
        <v>2992</v>
      </c>
      <c r="E659" s="42" t="s">
        <v>2993</v>
      </c>
      <c r="F659" s="42"/>
      <c r="G659" s="42">
        <v>2</v>
      </c>
      <c r="H659" s="43">
        <f>VLOOKUP(C659,[1]Sheet4!$B$2:$H$344,7,FALSE)</f>
        <v>63.94</v>
      </c>
      <c r="I659" s="43">
        <f t="shared" si="17"/>
        <v>127.88</v>
      </c>
      <c r="J659" s="42" t="s">
        <v>14</v>
      </c>
      <c r="K659" s="44">
        <v>2</v>
      </c>
    </row>
    <row r="660" spans="1:11" ht="20.100000000000001" customHeight="1">
      <c r="A660" s="41">
        <v>654</v>
      </c>
      <c r="B660" s="42" t="s">
        <v>2994</v>
      </c>
      <c r="C660" s="42" t="s">
        <v>2995</v>
      </c>
      <c r="D660" s="42" t="s">
        <v>2982</v>
      </c>
      <c r="E660" s="42" t="s">
        <v>593</v>
      </c>
      <c r="F660" s="42" t="s">
        <v>1391</v>
      </c>
      <c r="G660" s="42">
        <v>24</v>
      </c>
      <c r="H660" s="43"/>
      <c r="I660" s="43">
        <f t="shared" si="17"/>
        <v>0</v>
      </c>
      <c r="J660" s="42" t="s">
        <v>14</v>
      </c>
      <c r="K660" s="44">
        <v>24</v>
      </c>
    </row>
    <row r="661" spans="1:11" ht="20.100000000000001" customHeight="1">
      <c r="A661" s="37">
        <v>655</v>
      </c>
      <c r="B661" s="42" t="s">
        <v>2996</v>
      </c>
      <c r="C661" s="42">
        <v>40698358</v>
      </c>
      <c r="D661" s="42" t="s">
        <v>2997</v>
      </c>
      <c r="E661" s="42" t="s">
        <v>2998</v>
      </c>
      <c r="F661" s="42"/>
      <c r="G661" s="42">
        <v>1</v>
      </c>
      <c r="H661" s="43">
        <f>VLOOKUP(C661,[1]Sheet4!$B$2:$H$344,7,FALSE)</f>
        <v>195.87</v>
      </c>
      <c r="I661" s="43">
        <f t="shared" si="17"/>
        <v>195.87</v>
      </c>
      <c r="J661" s="42" t="s">
        <v>14</v>
      </c>
      <c r="K661" s="44">
        <v>1</v>
      </c>
    </row>
    <row r="662" spans="1:11" ht="20.100000000000001" customHeight="1">
      <c r="A662" s="41">
        <v>656</v>
      </c>
      <c r="B662" s="42" t="s">
        <v>2999</v>
      </c>
      <c r="C662" s="45" t="s">
        <v>3000</v>
      </c>
      <c r="D662" s="45" t="s">
        <v>3001</v>
      </c>
      <c r="E662" s="42"/>
      <c r="F662" s="46"/>
      <c r="G662" s="42">
        <v>1</v>
      </c>
      <c r="H662" s="47"/>
      <c r="I662" s="47"/>
      <c r="J662" s="45" t="s">
        <v>14</v>
      </c>
      <c r="K662" s="44">
        <v>1</v>
      </c>
    </row>
    <row r="663" spans="1:11" ht="20.100000000000001" customHeight="1">
      <c r="A663" s="37">
        <v>657</v>
      </c>
      <c r="B663" s="42" t="s">
        <v>3002</v>
      </c>
      <c r="C663" s="45">
        <v>40704320</v>
      </c>
      <c r="D663" s="45" t="s">
        <v>3003</v>
      </c>
      <c r="E663" s="42"/>
      <c r="F663" s="46"/>
      <c r="G663" s="42">
        <v>2</v>
      </c>
      <c r="H663" s="47">
        <v>70.97</v>
      </c>
      <c r="I663" s="47">
        <f t="shared" ref="I663:I726" si="18">H663*G663</f>
        <v>141.94</v>
      </c>
      <c r="J663" s="45" t="s">
        <v>14</v>
      </c>
      <c r="K663" s="44">
        <v>2</v>
      </c>
    </row>
    <row r="664" spans="1:11" ht="20.100000000000001" customHeight="1">
      <c r="A664" s="41">
        <v>658</v>
      </c>
      <c r="B664" s="42" t="s">
        <v>3004</v>
      </c>
      <c r="C664" s="42">
        <v>40651778</v>
      </c>
      <c r="D664" s="42" t="s">
        <v>3005</v>
      </c>
      <c r="E664" s="42" t="s">
        <v>3006</v>
      </c>
      <c r="F664" s="42"/>
      <c r="G664" s="42">
        <v>10</v>
      </c>
      <c r="H664" s="43">
        <f>VLOOKUP(C664,[1]Sheet4!$B$2:$H$344,7,FALSE)</f>
        <v>223.71</v>
      </c>
      <c r="I664" s="43">
        <f t="shared" si="18"/>
        <v>2237.1</v>
      </c>
      <c r="J664" s="42" t="s">
        <v>14</v>
      </c>
      <c r="K664" s="44">
        <v>10</v>
      </c>
    </row>
    <row r="665" spans="1:11" ht="20.100000000000001" customHeight="1">
      <c r="A665" s="37">
        <v>659</v>
      </c>
      <c r="B665" s="42" t="s">
        <v>3007</v>
      </c>
      <c r="C665" s="42" t="s">
        <v>3008</v>
      </c>
      <c r="D665" s="42" t="s">
        <v>3009</v>
      </c>
      <c r="E665" s="42" t="s">
        <v>3010</v>
      </c>
      <c r="F665" s="42" t="s">
        <v>3011</v>
      </c>
      <c r="G665" s="42">
        <v>10</v>
      </c>
      <c r="H665" s="43"/>
      <c r="I665" s="43">
        <f t="shared" si="18"/>
        <v>0</v>
      </c>
      <c r="J665" s="42" t="s">
        <v>14</v>
      </c>
      <c r="K665" s="44">
        <v>10</v>
      </c>
    </row>
    <row r="666" spans="1:11" ht="20.100000000000001" customHeight="1">
      <c r="A666" s="41">
        <v>660</v>
      </c>
      <c r="B666" s="42" t="s">
        <v>3012</v>
      </c>
      <c r="C666" s="42" t="s">
        <v>3013</v>
      </c>
      <c r="D666" s="42" t="s">
        <v>3014</v>
      </c>
      <c r="E666" s="42" t="s">
        <v>3015</v>
      </c>
      <c r="F666" s="42" t="s">
        <v>3016</v>
      </c>
      <c r="G666" s="42">
        <v>4</v>
      </c>
      <c r="H666" s="43"/>
      <c r="I666" s="43">
        <f t="shared" si="18"/>
        <v>0</v>
      </c>
      <c r="J666" s="42" t="s">
        <v>14</v>
      </c>
      <c r="K666" s="44">
        <v>4</v>
      </c>
    </row>
    <row r="667" spans="1:11" ht="20.100000000000001" customHeight="1">
      <c r="A667" s="37">
        <v>661</v>
      </c>
      <c r="B667" s="42" t="s">
        <v>3017</v>
      </c>
      <c r="C667" s="42">
        <v>40627709</v>
      </c>
      <c r="D667" s="42" t="s">
        <v>3018</v>
      </c>
      <c r="E667" s="42" t="s">
        <v>3019</v>
      </c>
      <c r="F667" s="42" t="s">
        <v>3020</v>
      </c>
      <c r="G667" s="42">
        <v>56</v>
      </c>
      <c r="H667" s="43" t="e">
        <f>VLOOKUP(C667,[1]Sheet4!$B$2:$H$344,7,FALSE)</f>
        <v>#N/A</v>
      </c>
      <c r="I667" s="43" t="e">
        <f t="shared" si="18"/>
        <v>#N/A</v>
      </c>
      <c r="J667" s="42" t="s">
        <v>14</v>
      </c>
      <c r="K667" s="44">
        <v>56</v>
      </c>
    </row>
    <row r="668" spans="1:11" ht="20.100000000000001" customHeight="1">
      <c r="A668" s="41">
        <v>662</v>
      </c>
      <c r="B668" s="42" t="s">
        <v>3021</v>
      </c>
      <c r="C668" s="42" t="s">
        <v>3022</v>
      </c>
      <c r="D668" s="42" t="s">
        <v>3023</v>
      </c>
      <c r="E668" s="42" t="s">
        <v>3024</v>
      </c>
      <c r="F668" s="42" t="s">
        <v>3025</v>
      </c>
      <c r="G668" s="42">
        <v>35</v>
      </c>
      <c r="H668" s="43"/>
      <c r="I668" s="43">
        <f t="shared" si="18"/>
        <v>0</v>
      </c>
      <c r="J668" s="42" t="s">
        <v>14</v>
      </c>
      <c r="K668" s="44">
        <v>35</v>
      </c>
    </row>
    <row r="669" spans="1:11" ht="20.100000000000001" customHeight="1">
      <c r="A669" s="37">
        <v>663</v>
      </c>
      <c r="B669" s="42" t="s">
        <v>3026</v>
      </c>
      <c r="C669" s="42" t="s">
        <v>3027</v>
      </c>
      <c r="D669" s="42" t="s">
        <v>3028</v>
      </c>
      <c r="E669" s="42" t="s">
        <v>3029</v>
      </c>
      <c r="F669" s="56" t="s">
        <v>3030</v>
      </c>
      <c r="G669" s="42">
        <v>190</v>
      </c>
      <c r="H669" s="43"/>
      <c r="I669" s="43">
        <f t="shared" si="18"/>
        <v>0</v>
      </c>
      <c r="J669" s="42" t="s">
        <v>14</v>
      </c>
      <c r="K669" s="44">
        <v>190</v>
      </c>
    </row>
    <row r="670" spans="1:11" ht="20.100000000000001" customHeight="1">
      <c r="A670" s="41">
        <v>664</v>
      </c>
      <c r="B670" s="42" t="s">
        <v>3031</v>
      </c>
      <c r="C670" s="42">
        <v>40698493</v>
      </c>
      <c r="D670" s="42" t="s">
        <v>3032</v>
      </c>
      <c r="E670" s="42" t="s">
        <v>3033</v>
      </c>
      <c r="F670" s="42" t="s">
        <v>3034</v>
      </c>
      <c r="G670" s="42">
        <v>12</v>
      </c>
      <c r="H670" s="43">
        <f>VLOOKUP(C670,[1]Sheet4!$B$2:$H$344,7,FALSE)</f>
        <v>662.78</v>
      </c>
      <c r="I670" s="43">
        <f t="shared" si="18"/>
        <v>7953.36</v>
      </c>
      <c r="J670" s="42" t="s">
        <v>14</v>
      </c>
      <c r="K670" s="44">
        <v>11</v>
      </c>
    </row>
    <row r="671" spans="1:11" ht="20.100000000000001" customHeight="1">
      <c r="A671" s="37">
        <v>665</v>
      </c>
      <c r="B671" s="42" t="s">
        <v>3035</v>
      </c>
      <c r="C671" s="42">
        <v>40698493</v>
      </c>
      <c r="D671" s="42" t="s">
        <v>3032</v>
      </c>
      <c r="E671" s="42" t="s">
        <v>3033</v>
      </c>
      <c r="F671" s="42" t="s">
        <v>3036</v>
      </c>
      <c r="G671" s="42">
        <v>10</v>
      </c>
      <c r="H671" s="43">
        <f>VLOOKUP(C671,[1]Sheet4!$B$2:$H$344,7,FALSE)</f>
        <v>662.78</v>
      </c>
      <c r="I671" s="43">
        <f t="shared" si="18"/>
        <v>6627.7999999999993</v>
      </c>
      <c r="J671" s="42" t="s">
        <v>14</v>
      </c>
      <c r="K671" s="44">
        <v>10</v>
      </c>
    </row>
    <row r="672" spans="1:11" ht="20.100000000000001" customHeight="1">
      <c r="A672" s="41">
        <v>666</v>
      </c>
      <c r="B672" s="42" t="s">
        <v>3037</v>
      </c>
      <c r="C672" s="42">
        <v>40698493</v>
      </c>
      <c r="D672" s="42" t="s">
        <v>3032</v>
      </c>
      <c r="E672" s="42" t="s">
        <v>3033</v>
      </c>
      <c r="F672" s="42" t="s">
        <v>3038</v>
      </c>
      <c r="G672" s="42">
        <v>20</v>
      </c>
      <c r="H672" s="43">
        <f>VLOOKUP(C672,[1]Sheet4!$B$2:$H$344,7,FALSE)</f>
        <v>662.78</v>
      </c>
      <c r="I672" s="43">
        <f t="shared" si="18"/>
        <v>13255.599999999999</v>
      </c>
      <c r="J672" s="42" t="s">
        <v>14</v>
      </c>
      <c r="K672" s="44">
        <v>20</v>
      </c>
    </row>
    <row r="673" spans="1:11" ht="20.100000000000001" customHeight="1">
      <c r="A673" s="37">
        <v>667</v>
      </c>
      <c r="B673" s="42" t="s">
        <v>3037</v>
      </c>
      <c r="C673" s="42">
        <v>40698503</v>
      </c>
      <c r="D673" s="42" t="s">
        <v>3039</v>
      </c>
      <c r="E673" s="42" t="s">
        <v>3040</v>
      </c>
      <c r="F673" s="42" t="s">
        <v>3041</v>
      </c>
      <c r="G673" s="42">
        <v>4</v>
      </c>
      <c r="H673" s="43">
        <f>VLOOKUP(C673,[1]Sheet4!$B$2:$H$344,7,FALSE)</f>
        <v>1228.98</v>
      </c>
      <c r="I673" s="43">
        <f t="shared" si="18"/>
        <v>4915.92</v>
      </c>
      <c r="J673" s="42" t="s">
        <v>14</v>
      </c>
      <c r="K673" s="44">
        <v>4</v>
      </c>
    </row>
    <row r="674" spans="1:11" ht="20.100000000000001" customHeight="1">
      <c r="A674" s="41">
        <v>668</v>
      </c>
      <c r="B674" s="42" t="s">
        <v>3042</v>
      </c>
      <c r="C674" s="42">
        <v>40698503</v>
      </c>
      <c r="D674" s="42" t="s">
        <v>3039</v>
      </c>
      <c r="E674" s="42" t="s">
        <v>3040</v>
      </c>
      <c r="F674" s="42" t="s">
        <v>3043</v>
      </c>
      <c r="G674" s="42">
        <v>4</v>
      </c>
      <c r="H674" s="43">
        <f>VLOOKUP(C674,[1]Sheet4!$B$2:$H$344,7,FALSE)</f>
        <v>1228.98</v>
      </c>
      <c r="I674" s="43">
        <f t="shared" si="18"/>
        <v>4915.92</v>
      </c>
      <c r="J674" s="42" t="s">
        <v>14</v>
      </c>
      <c r="K674" s="44">
        <v>4</v>
      </c>
    </row>
    <row r="675" spans="1:11" ht="20.100000000000001" customHeight="1">
      <c r="A675" s="37">
        <v>669</v>
      </c>
      <c r="B675" s="42" t="s">
        <v>3044</v>
      </c>
      <c r="C675" s="42">
        <v>40694675</v>
      </c>
      <c r="D675" s="42" t="s">
        <v>3045</v>
      </c>
      <c r="E675" s="42" t="s">
        <v>3046</v>
      </c>
      <c r="F675" s="42"/>
      <c r="G675" s="42">
        <v>1</v>
      </c>
      <c r="H675" s="43">
        <f>VLOOKUP(C675,[1]Sheet4!$B$2:$H$344,7,FALSE)</f>
        <v>10.8</v>
      </c>
      <c r="I675" s="43">
        <f t="shared" si="18"/>
        <v>10.8</v>
      </c>
      <c r="J675" s="42" t="s">
        <v>14</v>
      </c>
      <c r="K675" s="44">
        <v>1</v>
      </c>
    </row>
    <row r="676" spans="1:11" ht="20.100000000000001" customHeight="1">
      <c r="A676" s="41">
        <v>670</v>
      </c>
      <c r="B676" s="42" t="s">
        <v>3044</v>
      </c>
      <c r="C676" s="42">
        <v>40694676</v>
      </c>
      <c r="D676" s="42" t="s">
        <v>3047</v>
      </c>
      <c r="E676" s="42" t="s">
        <v>3048</v>
      </c>
      <c r="F676" s="42"/>
      <c r="G676" s="42">
        <v>1</v>
      </c>
      <c r="H676" s="43">
        <f>VLOOKUP(C676,[1]Sheet4!$B$2:$H$344,7,FALSE)</f>
        <v>10.8</v>
      </c>
      <c r="I676" s="43">
        <f t="shared" si="18"/>
        <v>10.8</v>
      </c>
      <c r="J676" s="42" t="s">
        <v>14</v>
      </c>
      <c r="K676" s="44">
        <v>1</v>
      </c>
    </row>
    <row r="677" spans="1:11" ht="20.100000000000001" customHeight="1">
      <c r="A677" s="37">
        <v>671</v>
      </c>
      <c r="B677" s="42" t="s">
        <v>3049</v>
      </c>
      <c r="C677" s="42">
        <v>40640059</v>
      </c>
      <c r="D677" s="42" t="s">
        <v>3050</v>
      </c>
      <c r="E677" s="42" t="s">
        <v>3051</v>
      </c>
      <c r="F677" s="42" t="s">
        <v>3052</v>
      </c>
      <c r="G677" s="42">
        <v>4</v>
      </c>
      <c r="H677" s="43">
        <f>VLOOKUP(C677,[1]Sheet4!$B$2:$H$344,7,FALSE)</f>
        <v>240.23</v>
      </c>
      <c r="I677" s="43">
        <f t="shared" si="18"/>
        <v>960.92</v>
      </c>
      <c r="J677" s="42" t="s">
        <v>14</v>
      </c>
      <c r="K677" s="44">
        <v>4</v>
      </c>
    </row>
    <row r="678" spans="1:11" ht="20.100000000000001" customHeight="1">
      <c r="A678" s="41">
        <v>672</v>
      </c>
      <c r="B678" s="42" t="s">
        <v>3053</v>
      </c>
      <c r="C678" s="42" t="s">
        <v>3054</v>
      </c>
      <c r="D678" s="42" t="s">
        <v>3055</v>
      </c>
      <c r="E678" s="42" t="s">
        <v>3056</v>
      </c>
      <c r="F678" s="42" t="s">
        <v>2863</v>
      </c>
      <c r="G678" s="42">
        <v>5</v>
      </c>
      <c r="H678" s="43"/>
      <c r="I678" s="43">
        <f t="shared" si="18"/>
        <v>0</v>
      </c>
      <c r="J678" s="42" t="s">
        <v>14</v>
      </c>
      <c r="K678" s="44">
        <v>5</v>
      </c>
    </row>
    <row r="679" spans="1:11" ht="20.100000000000001" customHeight="1">
      <c r="A679" s="37">
        <v>673</v>
      </c>
      <c r="B679" s="42" t="s">
        <v>3057</v>
      </c>
      <c r="C679" s="42">
        <v>40786148</v>
      </c>
      <c r="D679" s="42" t="s">
        <v>3058</v>
      </c>
      <c r="E679" s="55" t="s">
        <v>3059</v>
      </c>
      <c r="F679" s="42"/>
      <c r="G679" s="42">
        <v>16</v>
      </c>
      <c r="H679" s="43">
        <f>VLOOKUP(C679,[1]Sheet4!$B$2:$H$344,7,FALSE)</f>
        <v>11.63</v>
      </c>
      <c r="I679" s="43">
        <f t="shared" si="18"/>
        <v>186.08</v>
      </c>
      <c r="J679" s="42" t="s">
        <v>14</v>
      </c>
      <c r="K679" s="44">
        <v>16</v>
      </c>
    </row>
    <row r="680" spans="1:11" ht="20.100000000000001" customHeight="1">
      <c r="A680" s="41">
        <v>674</v>
      </c>
      <c r="B680" s="42" t="s">
        <v>3060</v>
      </c>
      <c r="C680" s="42">
        <v>40701493</v>
      </c>
      <c r="D680" s="42" t="s">
        <v>3061</v>
      </c>
      <c r="E680" s="42" t="s">
        <v>3062</v>
      </c>
      <c r="F680" s="42"/>
      <c r="G680" s="42">
        <v>10</v>
      </c>
      <c r="H680" s="43">
        <f>VLOOKUP(C680,[1]Sheet4!$B$2:$H$344,7,FALSE)</f>
        <v>8.56</v>
      </c>
      <c r="I680" s="43">
        <f t="shared" si="18"/>
        <v>85.600000000000009</v>
      </c>
      <c r="J680" s="42" t="s">
        <v>59</v>
      </c>
      <c r="K680" s="44">
        <v>6</v>
      </c>
    </row>
    <row r="681" spans="1:11" ht="20.100000000000001" customHeight="1">
      <c r="A681" s="37">
        <v>675</v>
      </c>
      <c r="B681" s="42" t="s">
        <v>3063</v>
      </c>
      <c r="C681" s="42" t="s">
        <v>3064</v>
      </c>
      <c r="D681" s="42" t="s">
        <v>3065</v>
      </c>
      <c r="E681" s="42" t="s">
        <v>3066</v>
      </c>
      <c r="F681" s="42"/>
      <c r="G681" s="42">
        <v>2</v>
      </c>
      <c r="H681" s="43"/>
      <c r="I681" s="43">
        <f t="shared" si="18"/>
        <v>0</v>
      </c>
      <c r="J681" s="42" t="s">
        <v>14</v>
      </c>
      <c r="K681" s="44">
        <v>2</v>
      </c>
    </row>
    <row r="682" spans="1:11" ht="20.100000000000001" customHeight="1">
      <c r="A682" s="41">
        <v>676</v>
      </c>
      <c r="B682" s="42" t="s">
        <v>3067</v>
      </c>
      <c r="C682" s="42">
        <v>40721993</v>
      </c>
      <c r="D682" s="42" t="s">
        <v>3068</v>
      </c>
      <c r="E682" s="42" t="s">
        <v>3069</v>
      </c>
      <c r="F682" s="42"/>
      <c r="G682" s="42">
        <v>2</v>
      </c>
      <c r="H682" s="43">
        <f>VLOOKUP(C682,[1]Sheet4!$B$2:$H$344,7,FALSE)</f>
        <v>0.85</v>
      </c>
      <c r="I682" s="43">
        <f t="shared" si="18"/>
        <v>1.7</v>
      </c>
      <c r="J682" s="42" t="s">
        <v>14</v>
      </c>
      <c r="K682" s="44">
        <v>2</v>
      </c>
    </row>
    <row r="683" spans="1:11" ht="20.100000000000001" customHeight="1">
      <c r="A683" s="37">
        <v>677</v>
      </c>
      <c r="B683" s="42" t="s">
        <v>3070</v>
      </c>
      <c r="C683" s="42">
        <v>40695796</v>
      </c>
      <c r="D683" s="42" t="s">
        <v>3071</v>
      </c>
      <c r="E683" s="42" t="s">
        <v>3072</v>
      </c>
      <c r="F683" s="42"/>
      <c r="G683" s="42">
        <v>4</v>
      </c>
      <c r="H683" s="43">
        <f>VLOOKUP(C683,[1]Sheet4!$B$2:$H$344,7,FALSE)</f>
        <v>2.57</v>
      </c>
      <c r="I683" s="43">
        <f t="shared" si="18"/>
        <v>10.28</v>
      </c>
      <c r="J683" s="42" t="s">
        <v>14</v>
      </c>
      <c r="K683" s="44">
        <v>4</v>
      </c>
    </row>
    <row r="684" spans="1:11" ht="20.100000000000001" customHeight="1">
      <c r="A684" s="41">
        <v>678</v>
      </c>
      <c r="B684" s="42" t="s">
        <v>3070</v>
      </c>
      <c r="C684" s="42">
        <v>40703989</v>
      </c>
      <c r="D684" s="42" t="s">
        <v>3073</v>
      </c>
      <c r="E684" s="42" t="s">
        <v>3074</v>
      </c>
      <c r="F684" s="42"/>
      <c r="G684" s="42">
        <v>24</v>
      </c>
      <c r="H684" s="43">
        <f>VLOOKUP(C684,[1]Sheet4!$B$2:$H$344,7,FALSE)</f>
        <v>115.21</v>
      </c>
      <c r="I684" s="43">
        <f t="shared" si="18"/>
        <v>2765.04</v>
      </c>
      <c r="J684" s="42" t="s">
        <v>14</v>
      </c>
      <c r="K684" s="44">
        <v>24</v>
      </c>
    </row>
    <row r="685" spans="1:11" ht="20.100000000000001" customHeight="1">
      <c r="A685" s="37">
        <v>679</v>
      </c>
      <c r="B685" s="42" t="s">
        <v>3070</v>
      </c>
      <c r="C685" s="42">
        <v>40703992</v>
      </c>
      <c r="D685" s="42" t="s">
        <v>3075</v>
      </c>
      <c r="E685" s="42" t="s">
        <v>3076</v>
      </c>
      <c r="F685" s="42"/>
      <c r="G685" s="42">
        <v>12</v>
      </c>
      <c r="H685" s="43">
        <f>VLOOKUP(C685,[1]Sheet4!$B$2:$H$344,7,FALSE)</f>
        <v>6.7</v>
      </c>
      <c r="I685" s="43">
        <f t="shared" si="18"/>
        <v>80.400000000000006</v>
      </c>
      <c r="J685" s="42" t="s">
        <v>14</v>
      </c>
      <c r="K685" s="44">
        <v>12</v>
      </c>
    </row>
    <row r="686" spans="1:11" ht="20.100000000000001" customHeight="1">
      <c r="A686" s="41">
        <v>680</v>
      </c>
      <c r="B686" s="42" t="s">
        <v>3077</v>
      </c>
      <c r="C686" s="42" t="s">
        <v>3078</v>
      </c>
      <c r="D686" s="42" t="s">
        <v>3079</v>
      </c>
      <c r="E686" s="42" t="s">
        <v>3080</v>
      </c>
      <c r="F686" s="42" t="s">
        <v>3081</v>
      </c>
      <c r="G686" s="42">
        <v>4</v>
      </c>
      <c r="H686" s="43"/>
      <c r="I686" s="43">
        <f t="shared" si="18"/>
        <v>0</v>
      </c>
      <c r="J686" s="42" t="s">
        <v>14</v>
      </c>
      <c r="K686" s="44">
        <v>4</v>
      </c>
    </row>
    <row r="687" spans="1:11" ht="20.100000000000001" customHeight="1">
      <c r="A687" s="37">
        <v>681</v>
      </c>
      <c r="B687" s="42" t="s">
        <v>3077</v>
      </c>
      <c r="C687" s="45" t="s">
        <v>3082</v>
      </c>
      <c r="D687" s="45"/>
      <c r="E687" s="42"/>
      <c r="F687" s="46"/>
      <c r="G687" s="42">
        <v>2</v>
      </c>
      <c r="H687" s="43"/>
      <c r="I687" s="43">
        <f t="shared" si="18"/>
        <v>0</v>
      </c>
      <c r="J687" s="45" t="s">
        <v>14</v>
      </c>
      <c r="K687" s="44">
        <v>2</v>
      </c>
    </row>
    <row r="688" spans="1:11" ht="20.100000000000001" customHeight="1">
      <c r="A688" s="41">
        <v>682</v>
      </c>
      <c r="B688" s="42" t="s">
        <v>3083</v>
      </c>
      <c r="C688" s="42">
        <v>40779814</v>
      </c>
      <c r="D688" s="42" t="s">
        <v>3084</v>
      </c>
      <c r="E688" s="42" t="s">
        <v>3085</v>
      </c>
      <c r="F688" s="42"/>
      <c r="G688" s="42">
        <v>15</v>
      </c>
      <c r="H688" s="43">
        <f>VLOOKUP(C688,[1]Sheet4!$B$2:$H$344,7,FALSE)</f>
        <v>48.4</v>
      </c>
      <c r="I688" s="43">
        <f t="shared" si="18"/>
        <v>726</v>
      </c>
      <c r="J688" s="42" t="s">
        <v>14</v>
      </c>
      <c r="K688" s="44">
        <v>15</v>
      </c>
    </row>
    <row r="689" spans="1:11" ht="20.100000000000001" customHeight="1">
      <c r="A689" s="37">
        <v>683</v>
      </c>
      <c r="B689" s="42" t="s">
        <v>3086</v>
      </c>
      <c r="C689" s="42">
        <v>40779808</v>
      </c>
      <c r="D689" s="42" t="s">
        <v>3087</v>
      </c>
      <c r="E689" s="42" t="s">
        <v>3088</v>
      </c>
      <c r="F689" s="42"/>
      <c r="G689" s="42">
        <v>8</v>
      </c>
      <c r="H689" s="43">
        <f>VLOOKUP(C689,[1]Sheet4!$B$2:$H$344,7,FALSE)</f>
        <v>20.170000000000002</v>
      </c>
      <c r="I689" s="43">
        <f t="shared" si="18"/>
        <v>161.36000000000001</v>
      </c>
      <c r="J689" s="42" t="s">
        <v>14</v>
      </c>
      <c r="K689" s="44">
        <v>8</v>
      </c>
    </row>
    <row r="690" spans="1:11" ht="20.100000000000001" customHeight="1">
      <c r="A690" s="41">
        <v>684</v>
      </c>
      <c r="B690" s="42" t="s">
        <v>3086</v>
      </c>
      <c r="C690" s="42">
        <v>40628081</v>
      </c>
      <c r="D690" s="42" t="s">
        <v>3089</v>
      </c>
      <c r="E690" s="42" t="s">
        <v>3090</v>
      </c>
      <c r="F690" s="42"/>
      <c r="G690" s="42">
        <v>3</v>
      </c>
      <c r="H690" s="43">
        <f>VLOOKUP(C690,[1]Sheet4!$B$2:$H$344,7,FALSE)</f>
        <v>3.7</v>
      </c>
      <c r="I690" s="43">
        <f t="shared" si="18"/>
        <v>11.100000000000001</v>
      </c>
      <c r="J690" s="42" t="s">
        <v>14</v>
      </c>
      <c r="K690" s="44">
        <v>3</v>
      </c>
    </row>
    <row r="691" spans="1:11" ht="20.100000000000001" customHeight="1">
      <c r="A691" s="37">
        <v>685</v>
      </c>
      <c r="B691" s="42" t="s">
        <v>3086</v>
      </c>
      <c r="C691" s="42" t="s">
        <v>3091</v>
      </c>
      <c r="D691" s="42" t="s">
        <v>3055</v>
      </c>
      <c r="E691" s="42" t="s">
        <v>3056</v>
      </c>
      <c r="F691" s="42" t="s">
        <v>3092</v>
      </c>
      <c r="G691" s="42">
        <v>5</v>
      </c>
      <c r="H691" s="43"/>
      <c r="I691" s="43">
        <f t="shared" si="18"/>
        <v>0</v>
      </c>
      <c r="J691" s="42" t="s">
        <v>14</v>
      </c>
      <c r="K691" s="44">
        <v>5</v>
      </c>
    </row>
    <row r="692" spans="1:11" ht="20.100000000000001" customHeight="1">
      <c r="A692" s="41">
        <v>686</v>
      </c>
      <c r="B692" s="42" t="s">
        <v>3086</v>
      </c>
      <c r="C692" s="42" t="s">
        <v>3093</v>
      </c>
      <c r="D692" s="42" t="s">
        <v>3094</v>
      </c>
      <c r="E692" s="42" t="s">
        <v>3095</v>
      </c>
      <c r="F692" s="42" t="s">
        <v>2863</v>
      </c>
      <c r="G692" s="42">
        <v>2</v>
      </c>
      <c r="H692" s="43"/>
      <c r="I692" s="43">
        <f t="shared" si="18"/>
        <v>0</v>
      </c>
      <c r="J692" s="42" t="s">
        <v>14</v>
      </c>
      <c r="K692" s="44">
        <v>2</v>
      </c>
    </row>
    <row r="693" spans="1:11" ht="20.100000000000001" customHeight="1">
      <c r="A693" s="37">
        <v>687</v>
      </c>
      <c r="B693" s="42" t="s">
        <v>3086</v>
      </c>
      <c r="C693" s="42" t="s">
        <v>3096</v>
      </c>
      <c r="D693" s="42" t="s">
        <v>3097</v>
      </c>
      <c r="E693" s="42" t="s">
        <v>3098</v>
      </c>
      <c r="F693" s="42"/>
      <c r="G693" s="42">
        <v>6</v>
      </c>
      <c r="H693" s="43"/>
      <c r="I693" s="43">
        <f t="shared" si="18"/>
        <v>0</v>
      </c>
      <c r="J693" s="42" t="s">
        <v>14</v>
      </c>
      <c r="K693" s="44">
        <v>6</v>
      </c>
    </row>
    <row r="694" spans="1:11" ht="20.100000000000001" customHeight="1">
      <c r="A694" s="41">
        <v>688</v>
      </c>
      <c r="B694" s="42" t="s">
        <v>3086</v>
      </c>
      <c r="C694" s="42" t="s">
        <v>3099</v>
      </c>
      <c r="D694" s="42" t="s">
        <v>3100</v>
      </c>
      <c r="E694" s="42" t="s">
        <v>3101</v>
      </c>
      <c r="F694" s="42"/>
      <c r="G694" s="42">
        <v>3</v>
      </c>
      <c r="H694" s="43"/>
      <c r="I694" s="43">
        <f t="shared" si="18"/>
        <v>0</v>
      </c>
      <c r="J694" s="42" t="s">
        <v>14</v>
      </c>
      <c r="K694" s="44">
        <v>3</v>
      </c>
    </row>
    <row r="695" spans="1:11" ht="20.100000000000001" customHeight="1">
      <c r="A695" s="37">
        <v>689</v>
      </c>
      <c r="B695" s="42" t="s">
        <v>3102</v>
      </c>
      <c r="C695" s="42" t="s">
        <v>3103</v>
      </c>
      <c r="D695" s="42" t="s">
        <v>3023</v>
      </c>
      <c r="E695" s="42" t="s">
        <v>3024</v>
      </c>
      <c r="F695" s="42" t="s">
        <v>3104</v>
      </c>
      <c r="G695" s="42">
        <v>16</v>
      </c>
      <c r="H695" s="43"/>
      <c r="I695" s="43">
        <f t="shared" si="18"/>
        <v>0</v>
      </c>
      <c r="J695" s="42" t="s">
        <v>14</v>
      </c>
      <c r="K695" s="44">
        <v>16</v>
      </c>
    </row>
    <row r="696" spans="1:11" ht="20.100000000000001" customHeight="1">
      <c r="A696" s="41">
        <v>690</v>
      </c>
      <c r="B696" s="42" t="s">
        <v>3105</v>
      </c>
      <c r="C696" s="42" t="s">
        <v>3106</v>
      </c>
      <c r="D696" s="42" t="s">
        <v>3023</v>
      </c>
      <c r="E696" s="42" t="s">
        <v>3024</v>
      </c>
      <c r="F696" s="42" t="s">
        <v>3107</v>
      </c>
      <c r="G696" s="42">
        <v>11</v>
      </c>
      <c r="H696" s="43"/>
      <c r="I696" s="43">
        <f t="shared" si="18"/>
        <v>0</v>
      </c>
      <c r="J696" s="42" t="s">
        <v>14</v>
      </c>
      <c r="K696" s="44">
        <v>11</v>
      </c>
    </row>
    <row r="697" spans="1:11" ht="20.100000000000001" customHeight="1">
      <c r="A697" s="37">
        <v>691</v>
      </c>
      <c r="B697" s="42" t="s">
        <v>3108</v>
      </c>
      <c r="C697" s="42">
        <v>40736649</v>
      </c>
      <c r="D697" s="42" t="s">
        <v>3109</v>
      </c>
      <c r="E697" s="42" t="s">
        <v>3110</v>
      </c>
      <c r="F697" s="42" t="s">
        <v>3111</v>
      </c>
      <c r="G697" s="42">
        <v>8</v>
      </c>
      <c r="H697" s="43"/>
      <c r="I697" s="43">
        <f t="shared" si="18"/>
        <v>0</v>
      </c>
      <c r="J697" s="42" t="s">
        <v>14</v>
      </c>
      <c r="K697" s="44">
        <v>8</v>
      </c>
    </row>
    <row r="698" spans="1:11" ht="20.100000000000001" customHeight="1">
      <c r="A698" s="41">
        <v>692</v>
      </c>
      <c r="B698" s="42" t="s">
        <v>3112</v>
      </c>
      <c r="C698" s="42" t="s">
        <v>3113</v>
      </c>
      <c r="D698" s="42" t="s">
        <v>2811</v>
      </c>
      <c r="E698" s="42" t="s">
        <v>3114</v>
      </c>
      <c r="F698" s="42" t="s">
        <v>3115</v>
      </c>
      <c r="G698" s="42">
        <v>2</v>
      </c>
      <c r="H698" s="43"/>
      <c r="I698" s="43">
        <f t="shared" si="18"/>
        <v>0</v>
      </c>
      <c r="J698" s="42" t="s">
        <v>14</v>
      </c>
      <c r="K698" s="44">
        <v>2</v>
      </c>
    </row>
    <row r="699" spans="1:11" ht="20.100000000000001" customHeight="1">
      <c r="A699" s="37">
        <v>693</v>
      </c>
      <c r="B699" s="42" t="s">
        <v>3116</v>
      </c>
      <c r="C699" s="42">
        <v>40698493</v>
      </c>
      <c r="D699" s="42" t="s">
        <v>3032</v>
      </c>
      <c r="E699" s="42" t="s">
        <v>3033</v>
      </c>
      <c r="F699" s="42" t="s">
        <v>3117</v>
      </c>
      <c r="G699" s="42">
        <v>6</v>
      </c>
      <c r="H699" s="43">
        <f>VLOOKUP(C699,[1]Sheet4!$B$2:$H$344,7,FALSE)</f>
        <v>662.78</v>
      </c>
      <c r="I699" s="43">
        <f t="shared" si="18"/>
        <v>3976.68</v>
      </c>
      <c r="J699" s="42" t="s">
        <v>14</v>
      </c>
      <c r="K699" s="44">
        <v>5</v>
      </c>
    </row>
    <row r="700" spans="1:11" ht="20.100000000000001" customHeight="1">
      <c r="A700" s="41">
        <v>694</v>
      </c>
      <c r="B700" s="42" t="s">
        <v>3118</v>
      </c>
      <c r="C700" s="42">
        <v>40698503</v>
      </c>
      <c r="D700" s="42" t="s">
        <v>3039</v>
      </c>
      <c r="E700" s="42" t="s">
        <v>3040</v>
      </c>
      <c r="F700" s="42" t="s">
        <v>3119</v>
      </c>
      <c r="G700" s="42">
        <v>24</v>
      </c>
      <c r="H700" s="43">
        <f>VLOOKUP(C700,[1]Sheet4!$B$2:$H$344,7,FALSE)</f>
        <v>1228.98</v>
      </c>
      <c r="I700" s="43">
        <f t="shared" si="18"/>
        <v>29495.52</v>
      </c>
      <c r="J700" s="42" t="s">
        <v>14</v>
      </c>
      <c r="K700" s="44">
        <v>24</v>
      </c>
    </row>
    <row r="701" spans="1:11" ht="20.100000000000001" customHeight="1">
      <c r="A701" s="37">
        <v>695</v>
      </c>
      <c r="B701" s="42" t="s">
        <v>3120</v>
      </c>
      <c r="C701" s="42">
        <v>40698503</v>
      </c>
      <c r="D701" s="42" t="s">
        <v>3039</v>
      </c>
      <c r="E701" s="42" t="s">
        <v>3040</v>
      </c>
      <c r="F701" s="42" t="s">
        <v>3121</v>
      </c>
      <c r="G701" s="42">
        <v>16</v>
      </c>
      <c r="H701" s="43">
        <f>VLOOKUP(C701,[1]Sheet4!$B$2:$H$344,7,FALSE)</f>
        <v>1228.98</v>
      </c>
      <c r="I701" s="43">
        <f t="shared" si="18"/>
        <v>19663.68</v>
      </c>
      <c r="J701" s="42" t="s">
        <v>14</v>
      </c>
      <c r="K701" s="44">
        <v>16</v>
      </c>
    </row>
    <row r="702" spans="1:11" ht="20.100000000000001" customHeight="1">
      <c r="A702" s="41">
        <v>696</v>
      </c>
      <c r="B702" s="42" t="s">
        <v>3122</v>
      </c>
      <c r="C702" s="42" t="s">
        <v>3123</v>
      </c>
      <c r="D702" s="42" t="s">
        <v>3124</v>
      </c>
      <c r="E702" s="42" t="s">
        <v>3125</v>
      </c>
      <c r="F702" s="42"/>
      <c r="G702" s="42">
        <v>2</v>
      </c>
      <c r="H702" s="43"/>
      <c r="I702" s="43">
        <f t="shared" si="18"/>
        <v>0</v>
      </c>
      <c r="J702" s="42" t="s">
        <v>14</v>
      </c>
      <c r="K702" s="44">
        <v>2</v>
      </c>
    </row>
    <row r="703" spans="1:11" ht="20.100000000000001" customHeight="1">
      <c r="A703" s="37">
        <v>697</v>
      </c>
      <c r="B703" s="42" t="s">
        <v>3126</v>
      </c>
      <c r="C703" s="42">
        <v>40251711</v>
      </c>
      <c r="D703" s="42" t="s">
        <v>3127</v>
      </c>
      <c r="E703" s="42" t="s">
        <v>3128</v>
      </c>
      <c r="F703" s="42" t="s">
        <v>3129</v>
      </c>
      <c r="G703" s="42">
        <v>24</v>
      </c>
      <c r="H703" s="43">
        <f>VLOOKUP(C703,[1]Sheet4!$B$2:$H$344,7,FALSE)</f>
        <v>20.48</v>
      </c>
      <c r="I703" s="43">
        <f t="shared" si="18"/>
        <v>491.52</v>
      </c>
      <c r="J703" s="42" t="s">
        <v>14</v>
      </c>
      <c r="K703" s="44">
        <v>24</v>
      </c>
    </row>
    <row r="704" spans="1:11" ht="20.100000000000001" customHeight="1">
      <c r="A704" s="41">
        <v>698</v>
      </c>
      <c r="B704" s="42" t="s">
        <v>3130</v>
      </c>
      <c r="C704" s="42" t="s">
        <v>3131</v>
      </c>
      <c r="D704" s="42" t="s">
        <v>3132</v>
      </c>
      <c r="E704" s="42" t="s">
        <v>3133</v>
      </c>
      <c r="F704" s="42"/>
      <c r="G704" s="42">
        <v>1</v>
      </c>
      <c r="H704" s="43"/>
      <c r="I704" s="43">
        <f t="shared" si="18"/>
        <v>0</v>
      </c>
      <c r="J704" s="42" t="s">
        <v>14</v>
      </c>
      <c r="K704" s="44">
        <v>1</v>
      </c>
    </row>
    <row r="705" spans="1:11" ht="20.100000000000001" customHeight="1">
      <c r="A705" s="37">
        <v>699</v>
      </c>
      <c r="B705" s="42" t="s">
        <v>3134</v>
      </c>
      <c r="C705" s="42" t="s">
        <v>3135</v>
      </c>
      <c r="D705" s="42" t="s">
        <v>3132</v>
      </c>
      <c r="E705" s="42" t="s">
        <v>3133</v>
      </c>
      <c r="F705" s="42"/>
      <c r="G705" s="42">
        <v>1</v>
      </c>
      <c r="H705" s="43"/>
      <c r="I705" s="43">
        <f t="shared" si="18"/>
        <v>0</v>
      </c>
      <c r="J705" s="42" t="s">
        <v>14</v>
      </c>
      <c r="K705" s="44">
        <v>1</v>
      </c>
    </row>
    <row r="706" spans="1:11" ht="20.100000000000001" customHeight="1">
      <c r="A706" s="41">
        <v>700</v>
      </c>
      <c r="B706" s="42" t="s">
        <v>3136</v>
      </c>
      <c r="C706" s="42">
        <v>40160498</v>
      </c>
      <c r="D706" s="42" t="s">
        <v>3137</v>
      </c>
      <c r="E706" s="42" t="s">
        <v>3138</v>
      </c>
      <c r="F706" s="42" t="s">
        <v>3139</v>
      </c>
      <c r="G706" s="42">
        <v>186</v>
      </c>
      <c r="H706" s="43">
        <f>VLOOKUP(C706,[1]Sheet4!$B$2:$H$344,7,FALSE)</f>
        <v>4.37</v>
      </c>
      <c r="I706" s="43">
        <f t="shared" si="18"/>
        <v>812.82</v>
      </c>
      <c r="J706" s="42" t="s">
        <v>14</v>
      </c>
      <c r="K706" s="44">
        <v>186</v>
      </c>
    </row>
    <row r="707" spans="1:11" ht="20.100000000000001" customHeight="1">
      <c r="A707" s="37">
        <v>701</v>
      </c>
      <c r="B707" s="42" t="s">
        <v>3140</v>
      </c>
      <c r="C707" s="42">
        <v>40160498</v>
      </c>
      <c r="D707" s="42" t="s">
        <v>3137</v>
      </c>
      <c r="E707" s="42" t="s">
        <v>3138</v>
      </c>
      <c r="F707" s="42" t="s">
        <v>3141</v>
      </c>
      <c r="G707" s="42">
        <v>7</v>
      </c>
      <c r="H707" s="43">
        <f>VLOOKUP(C707,[1]Sheet4!$B$2:$H$344,7,FALSE)</f>
        <v>4.37</v>
      </c>
      <c r="I707" s="43">
        <f t="shared" si="18"/>
        <v>30.59</v>
      </c>
      <c r="J707" s="42" t="s">
        <v>14</v>
      </c>
      <c r="K707" s="44">
        <v>7</v>
      </c>
    </row>
    <row r="708" spans="1:11" ht="20.100000000000001" customHeight="1">
      <c r="A708" s="41">
        <v>702</v>
      </c>
      <c r="B708" s="42" t="s">
        <v>3142</v>
      </c>
      <c r="C708" s="42" t="s">
        <v>3143</v>
      </c>
      <c r="D708" s="42" t="s">
        <v>3144</v>
      </c>
      <c r="E708" s="42" t="s">
        <v>3145</v>
      </c>
      <c r="F708" s="42"/>
      <c r="G708" s="42">
        <v>3</v>
      </c>
      <c r="H708" s="43"/>
      <c r="I708" s="43">
        <f t="shared" si="18"/>
        <v>0</v>
      </c>
      <c r="J708" s="42" t="s">
        <v>59</v>
      </c>
      <c r="K708" s="44">
        <v>3</v>
      </c>
    </row>
    <row r="709" spans="1:11" ht="20.100000000000001" customHeight="1">
      <c r="A709" s="37">
        <v>703</v>
      </c>
      <c r="B709" s="42" t="s">
        <v>3146</v>
      </c>
      <c r="C709" s="42">
        <v>40251711</v>
      </c>
      <c r="D709" s="42" t="s">
        <v>3127</v>
      </c>
      <c r="E709" s="42" t="s">
        <v>3128</v>
      </c>
      <c r="F709" s="42" t="s">
        <v>3147</v>
      </c>
      <c r="G709" s="42">
        <v>20</v>
      </c>
      <c r="H709" s="43">
        <f>VLOOKUP(C709,[1]Sheet4!$B$2:$H$344,7,FALSE)</f>
        <v>20.48</v>
      </c>
      <c r="I709" s="43">
        <f t="shared" si="18"/>
        <v>409.6</v>
      </c>
      <c r="J709" s="42" t="s">
        <v>14</v>
      </c>
      <c r="K709" s="44">
        <v>20</v>
      </c>
    </row>
    <row r="710" spans="1:11" ht="20.100000000000001" customHeight="1">
      <c r="A710" s="41">
        <v>704</v>
      </c>
      <c r="B710" s="42" t="s">
        <v>3148</v>
      </c>
      <c r="C710" s="42">
        <v>40252869</v>
      </c>
      <c r="D710" s="42" t="s">
        <v>3149</v>
      </c>
      <c r="E710" s="42" t="s">
        <v>3150</v>
      </c>
      <c r="F710" s="42"/>
      <c r="G710" s="42">
        <v>99</v>
      </c>
      <c r="H710" s="43">
        <f>VLOOKUP(C710,[1]Sheet4!$B$2:$H$344,7,FALSE)</f>
        <v>16.97</v>
      </c>
      <c r="I710" s="43">
        <f t="shared" si="18"/>
        <v>1680.03</v>
      </c>
      <c r="J710" s="42" t="s">
        <v>14</v>
      </c>
      <c r="K710" s="44">
        <v>99</v>
      </c>
    </row>
    <row r="711" spans="1:11" ht="20.100000000000001" customHeight="1">
      <c r="A711" s="37">
        <v>705</v>
      </c>
      <c r="B711" s="42" t="s">
        <v>3151</v>
      </c>
      <c r="C711" s="45">
        <v>40685451</v>
      </c>
      <c r="D711" s="45" t="s">
        <v>3152</v>
      </c>
      <c r="E711" s="42"/>
      <c r="F711" s="46"/>
      <c r="G711" s="42">
        <v>3</v>
      </c>
      <c r="H711" s="43">
        <f>VLOOKUP(C711,[1]Sheet4!$B$2:$H$344,7,FALSE)</f>
        <v>267.49</v>
      </c>
      <c r="I711" s="43">
        <f t="shared" si="18"/>
        <v>802.47</v>
      </c>
      <c r="J711" s="45" t="s">
        <v>14</v>
      </c>
      <c r="K711" s="44">
        <v>2</v>
      </c>
    </row>
    <row r="712" spans="1:11" ht="20.100000000000001" customHeight="1">
      <c r="A712" s="41">
        <v>706</v>
      </c>
      <c r="B712" s="42" t="s">
        <v>3153</v>
      </c>
      <c r="C712" s="42" t="s">
        <v>3154</v>
      </c>
      <c r="D712" s="42" t="s">
        <v>3155</v>
      </c>
      <c r="E712" s="42" t="s">
        <v>3156</v>
      </c>
      <c r="F712" s="42"/>
      <c r="G712" s="42">
        <v>2</v>
      </c>
      <c r="H712" s="43"/>
      <c r="I712" s="43">
        <f t="shared" si="18"/>
        <v>0</v>
      </c>
      <c r="J712" s="42" t="s">
        <v>175</v>
      </c>
      <c r="K712" s="44">
        <v>2</v>
      </c>
    </row>
    <row r="713" spans="1:11" ht="20.100000000000001" customHeight="1">
      <c r="A713" s="37">
        <v>707</v>
      </c>
      <c r="B713" s="42" t="s">
        <v>3157</v>
      </c>
      <c r="C713" s="42" t="s">
        <v>3158</v>
      </c>
      <c r="D713" s="42" t="s">
        <v>3159</v>
      </c>
      <c r="E713" s="42" t="s">
        <v>3160</v>
      </c>
      <c r="F713" s="42"/>
      <c r="G713" s="42">
        <v>22</v>
      </c>
      <c r="H713" s="43"/>
      <c r="I713" s="43">
        <f t="shared" si="18"/>
        <v>0</v>
      </c>
      <c r="J713" s="42" t="s">
        <v>14</v>
      </c>
      <c r="K713" s="44">
        <v>22</v>
      </c>
    </row>
    <row r="714" spans="1:11" ht="20.100000000000001" customHeight="1">
      <c r="A714" s="41">
        <v>708</v>
      </c>
      <c r="B714" s="42" t="s">
        <v>3161</v>
      </c>
      <c r="C714" s="42" t="s">
        <v>3162</v>
      </c>
      <c r="D714" s="42" t="s">
        <v>3163</v>
      </c>
      <c r="E714" s="42" t="s">
        <v>3164</v>
      </c>
      <c r="F714" s="42"/>
      <c r="G714" s="42">
        <v>14</v>
      </c>
      <c r="H714" s="43"/>
      <c r="I714" s="43">
        <f t="shared" si="18"/>
        <v>0</v>
      </c>
      <c r="J714" s="42" t="s">
        <v>14</v>
      </c>
      <c r="K714" s="44">
        <v>14</v>
      </c>
    </row>
    <row r="715" spans="1:11" ht="20.100000000000001" customHeight="1">
      <c r="A715" s="37">
        <v>709</v>
      </c>
      <c r="B715" s="42" t="s">
        <v>3165</v>
      </c>
      <c r="C715" s="42" t="s">
        <v>3166</v>
      </c>
      <c r="D715" s="42" t="s">
        <v>3167</v>
      </c>
      <c r="E715" s="42" t="s">
        <v>3168</v>
      </c>
      <c r="F715" s="42"/>
      <c r="G715" s="42">
        <v>2</v>
      </c>
      <c r="H715" s="43"/>
      <c r="I715" s="43">
        <f t="shared" si="18"/>
        <v>0</v>
      </c>
      <c r="J715" s="42" t="s">
        <v>14</v>
      </c>
      <c r="K715" s="44">
        <v>2</v>
      </c>
    </row>
    <row r="716" spans="1:11" ht="20.100000000000001" customHeight="1">
      <c r="A716" s="41">
        <v>710</v>
      </c>
      <c r="B716" s="42" t="s">
        <v>3169</v>
      </c>
      <c r="C716" s="42" t="s">
        <v>3170</v>
      </c>
      <c r="D716" s="42" t="s">
        <v>3167</v>
      </c>
      <c r="E716" s="42" t="s">
        <v>3168</v>
      </c>
      <c r="F716" s="42"/>
      <c r="G716" s="42">
        <v>13</v>
      </c>
      <c r="H716" s="43"/>
      <c r="I716" s="43">
        <f t="shared" si="18"/>
        <v>0</v>
      </c>
      <c r="J716" s="42" t="s">
        <v>14</v>
      </c>
      <c r="K716" s="44">
        <v>13</v>
      </c>
    </row>
    <row r="717" spans="1:11" ht="20.100000000000001" customHeight="1">
      <c r="A717" s="37">
        <v>711</v>
      </c>
      <c r="B717" s="42" t="s">
        <v>3171</v>
      </c>
      <c r="C717" s="42" t="s">
        <v>3172</v>
      </c>
      <c r="D717" s="42" t="s">
        <v>3173</v>
      </c>
      <c r="E717" s="42" t="s">
        <v>3174</v>
      </c>
      <c r="F717" s="42"/>
      <c r="G717" s="42">
        <v>14</v>
      </c>
      <c r="H717" s="43"/>
      <c r="I717" s="43">
        <f t="shared" si="18"/>
        <v>0</v>
      </c>
      <c r="J717" s="42" t="s">
        <v>14</v>
      </c>
      <c r="K717" s="44">
        <v>14</v>
      </c>
    </row>
    <row r="718" spans="1:11" ht="20.100000000000001" customHeight="1">
      <c r="A718" s="41">
        <v>712</v>
      </c>
      <c r="B718" s="42" t="s">
        <v>3175</v>
      </c>
      <c r="C718" s="42" t="s">
        <v>3176</v>
      </c>
      <c r="D718" s="42" t="s">
        <v>3173</v>
      </c>
      <c r="E718" s="42" t="s">
        <v>3174</v>
      </c>
      <c r="F718" s="42"/>
      <c r="G718" s="42">
        <v>20</v>
      </c>
      <c r="H718" s="43"/>
      <c r="I718" s="43">
        <f t="shared" si="18"/>
        <v>0</v>
      </c>
      <c r="J718" s="42" t="s">
        <v>14</v>
      </c>
      <c r="K718" s="44">
        <v>20</v>
      </c>
    </row>
    <row r="719" spans="1:11" ht="20.100000000000001" customHeight="1">
      <c r="A719" s="37">
        <v>713</v>
      </c>
      <c r="B719" s="42" t="s">
        <v>3177</v>
      </c>
      <c r="C719" s="42" t="s">
        <v>3178</v>
      </c>
      <c r="D719" s="42" t="s">
        <v>3179</v>
      </c>
      <c r="E719" s="42" t="s">
        <v>3160</v>
      </c>
      <c r="F719" s="42"/>
      <c r="G719" s="42">
        <v>35</v>
      </c>
      <c r="H719" s="43"/>
      <c r="I719" s="43">
        <f t="shared" si="18"/>
        <v>0</v>
      </c>
      <c r="J719" s="42" t="s">
        <v>14</v>
      </c>
      <c r="K719" s="44">
        <v>35</v>
      </c>
    </row>
    <row r="720" spans="1:11" ht="20.100000000000001" customHeight="1">
      <c r="A720" s="41">
        <v>714</v>
      </c>
      <c r="B720" s="42" t="s">
        <v>3180</v>
      </c>
      <c r="C720" s="42" t="s">
        <v>3181</v>
      </c>
      <c r="D720" s="42" t="s">
        <v>3182</v>
      </c>
      <c r="E720" s="42" t="s">
        <v>3183</v>
      </c>
      <c r="F720" s="42"/>
      <c r="G720" s="42">
        <v>43</v>
      </c>
      <c r="H720" s="43"/>
      <c r="I720" s="43">
        <f t="shared" si="18"/>
        <v>0</v>
      </c>
      <c r="J720" s="42" t="s">
        <v>14</v>
      </c>
      <c r="K720" s="44">
        <v>43</v>
      </c>
    </row>
    <row r="721" spans="1:11" ht="20.100000000000001" customHeight="1">
      <c r="A721" s="37">
        <v>715</v>
      </c>
      <c r="B721" s="42" t="s">
        <v>3184</v>
      </c>
      <c r="C721" s="42" t="s">
        <v>3185</v>
      </c>
      <c r="D721" s="42" t="s">
        <v>3186</v>
      </c>
      <c r="E721" s="42" t="s">
        <v>3187</v>
      </c>
      <c r="F721" s="42"/>
      <c r="G721" s="42" t="s">
        <v>3188</v>
      </c>
      <c r="H721" s="43"/>
      <c r="I721" s="43" t="e">
        <f t="shared" si="18"/>
        <v>#VALUE!</v>
      </c>
      <c r="J721" s="42" t="s">
        <v>14</v>
      </c>
      <c r="K721" s="57" t="s">
        <v>3188</v>
      </c>
    </row>
    <row r="722" spans="1:11" ht="20.100000000000001" customHeight="1">
      <c r="A722" s="41">
        <v>716</v>
      </c>
      <c r="B722" s="42" t="s">
        <v>3189</v>
      </c>
      <c r="C722" s="42" t="s">
        <v>3190</v>
      </c>
      <c r="D722" s="42" t="s">
        <v>3191</v>
      </c>
      <c r="E722" s="42" t="s">
        <v>3192</v>
      </c>
      <c r="F722" s="42"/>
      <c r="G722" s="42">
        <v>10</v>
      </c>
      <c r="H722" s="43"/>
      <c r="I722" s="43">
        <f t="shared" si="18"/>
        <v>0</v>
      </c>
      <c r="J722" s="42" t="s">
        <v>14</v>
      </c>
      <c r="K722" s="44">
        <v>10</v>
      </c>
    </row>
    <row r="723" spans="1:11" ht="20.100000000000001" customHeight="1">
      <c r="A723" s="37">
        <v>717</v>
      </c>
      <c r="B723" s="42" t="s">
        <v>3193</v>
      </c>
      <c r="C723" s="42" t="s">
        <v>3194</v>
      </c>
      <c r="D723" s="42" t="s">
        <v>3195</v>
      </c>
      <c r="E723" s="42" t="s">
        <v>3196</v>
      </c>
      <c r="F723" s="42"/>
      <c r="G723" s="42">
        <v>1</v>
      </c>
      <c r="H723" s="43"/>
      <c r="I723" s="43">
        <f t="shared" si="18"/>
        <v>0</v>
      </c>
      <c r="J723" s="42" t="s">
        <v>14</v>
      </c>
      <c r="K723" s="44">
        <v>1</v>
      </c>
    </row>
    <row r="724" spans="1:11" ht="20.100000000000001" customHeight="1">
      <c r="A724" s="41">
        <v>718</v>
      </c>
      <c r="B724" s="42" t="s">
        <v>3197</v>
      </c>
      <c r="C724" s="42">
        <v>40770068</v>
      </c>
      <c r="D724" s="42" t="s">
        <v>3198</v>
      </c>
      <c r="E724" s="42" t="s">
        <v>3199</v>
      </c>
      <c r="F724" s="42"/>
      <c r="G724" s="42">
        <v>1</v>
      </c>
      <c r="H724" s="43">
        <f>VLOOKUP(C724,[1]Sheet4!$B$2:$H$344,7,FALSE)</f>
        <v>829.69</v>
      </c>
      <c r="I724" s="43">
        <f t="shared" si="18"/>
        <v>829.69</v>
      </c>
      <c r="J724" s="42" t="s">
        <v>14</v>
      </c>
      <c r="K724" s="44">
        <v>1</v>
      </c>
    </row>
    <row r="725" spans="1:11" ht="20.100000000000001" customHeight="1">
      <c r="A725" s="37">
        <v>719</v>
      </c>
      <c r="B725" s="42" t="s">
        <v>3200</v>
      </c>
      <c r="C725" s="42">
        <v>40676680</v>
      </c>
      <c r="D725" s="42" t="s">
        <v>3201</v>
      </c>
      <c r="E725" s="42" t="s">
        <v>3202</v>
      </c>
      <c r="F725" s="42"/>
      <c r="G725" s="42">
        <v>4</v>
      </c>
      <c r="H725" s="43">
        <f>VLOOKUP(C725,[1]Sheet4!$B$2:$H$344,7,FALSE)</f>
        <v>155.07</v>
      </c>
      <c r="I725" s="43">
        <f t="shared" si="18"/>
        <v>620.28</v>
      </c>
      <c r="J725" s="42" t="s">
        <v>14</v>
      </c>
      <c r="K725" s="44">
        <v>4</v>
      </c>
    </row>
    <row r="726" spans="1:11" ht="20.100000000000001" customHeight="1">
      <c r="A726" s="41">
        <v>720</v>
      </c>
      <c r="B726" s="42" t="s">
        <v>3203</v>
      </c>
      <c r="C726" s="42">
        <v>40676677</v>
      </c>
      <c r="D726" s="42" t="s">
        <v>3204</v>
      </c>
      <c r="E726" s="42" t="s">
        <v>3205</v>
      </c>
      <c r="F726" s="42"/>
      <c r="G726" s="42">
        <v>19</v>
      </c>
      <c r="H726" s="43">
        <f>VLOOKUP(C726,[1]Sheet4!$B$2:$H$344,7,FALSE)</f>
        <v>122.85</v>
      </c>
      <c r="I726" s="43">
        <f t="shared" si="18"/>
        <v>2334.15</v>
      </c>
      <c r="J726" s="42" t="s">
        <v>14</v>
      </c>
      <c r="K726" s="44">
        <v>17</v>
      </c>
    </row>
    <row r="727" spans="1:11" ht="20.100000000000001" customHeight="1">
      <c r="A727" s="37">
        <v>721</v>
      </c>
      <c r="B727" s="42" t="s">
        <v>3206</v>
      </c>
      <c r="C727" s="42">
        <v>40676677</v>
      </c>
      <c r="D727" s="42" t="s">
        <v>3204</v>
      </c>
      <c r="E727" s="42" t="s">
        <v>3205</v>
      </c>
      <c r="F727" s="42"/>
      <c r="G727" s="42">
        <v>8</v>
      </c>
      <c r="H727" s="43">
        <f>VLOOKUP(C727,[1]Sheet4!$B$2:$H$344,7,FALSE)</f>
        <v>122.85</v>
      </c>
      <c r="I727" s="43">
        <f t="shared" ref="I727:I786" si="19">H727*G727</f>
        <v>982.8</v>
      </c>
      <c r="J727" s="42" t="s">
        <v>14</v>
      </c>
      <c r="K727" s="44">
        <v>8</v>
      </c>
    </row>
    <row r="728" spans="1:11" ht="20.100000000000001" customHeight="1">
      <c r="A728" s="41">
        <v>722</v>
      </c>
      <c r="B728" s="42" t="s">
        <v>3207</v>
      </c>
      <c r="C728" s="42">
        <v>40676675</v>
      </c>
      <c r="D728" s="42" t="s">
        <v>3208</v>
      </c>
      <c r="E728" s="42" t="s">
        <v>3209</v>
      </c>
      <c r="F728" s="42"/>
      <c r="G728" s="42">
        <v>4</v>
      </c>
      <c r="H728" s="43">
        <f>VLOOKUP(C728,[1]Sheet4!$B$2:$H$344,7,FALSE)</f>
        <v>513.05999999999995</v>
      </c>
      <c r="I728" s="43">
        <f t="shared" si="19"/>
        <v>2052.2399999999998</v>
      </c>
      <c r="J728" s="42" t="s">
        <v>14</v>
      </c>
      <c r="K728" s="44">
        <v>4</v>
      </c>
    </row>
    <row r="729" spans="1:11" ht="20.100000000000001" customHeight="1">
      <c r="A729" s="37">
        <v>723</v>
      </c>
      <c r="B729" s="42" t="s">
        <v>3210</v>
      </c>
      <c r="C729" s="42">
        <v>40676675</v>
      </c>
      <c r="D729" s="42" t="s">
        <v>3208</v>
      </c>
      <c r="E729" s="42" t="s">
        <v>3209</v>
      </c>
      <c r="F729" s="42"/>
      <c r="G729" s="42">
        <v>3</v>
      </c>
      <c r="H729" s="43">
        <f>VLOOKUP(C729,[1]Sheet4!$B$2:$H$344,7,FALSE)</f>
        <v>513.05999999999995</v>
      </c>
      <c r="I729" s="43">
        <f t="shared" si="19"/>
        <v>1539.1799999999998</v>
      </c>
      <c r="J729" s="42" t="s">
        <v>14</v>
      </c>
      <c r="K729" s="44">
        <v>3</v>
      </c>
    </row>
    <row r="730" spans="1:11" ht="20.100000000000001" customHeight="1">
      <c r="A730" s="41">
        <v>724</v>
      </c>
      <c r="B730" s="42" t="s">
        <v>3211</v>
      </c>
      <c r="C730" s="42">
        <v>40774487</v>
      </c>
      <c r="D730" s="42" t="s">
        <v>3212</v>
      </c>
      <c r="E730" s="42" t="s">
        <v>3213</v>
      </c>
      <c r="F730" s="42"/>
      <c r="G730" s="42">
        <v>5</v>
      </c>
      <c r="H730" s="43">
        <f>VLOOKUP(C730,[1]Sheet4!$B$2:$H$344,7,FALSE)</f>
        <v>163.31</v>
      </c>
      <c r="I730" s="43">
        <f t="shared" si="19"/>
        <v>816.55</v>
      </c>
      <c r="J730" s="42" t="s">
        <v>14</v>
      </c>
      <c r="K730" s="44">
        <v>4</v>
      </c>
    </row>
    <row r="731" spans="1:11" ht="20.100000000000001" customHeight="1">
      <c r="A731" s="37">
        <v>725</v>
      </c>
      <c r="B731" s="42" t="s">
        <v>3214</v>
      </c>
      <c r="C731" s="42">
        <v>40774489</v>
      </c>
      <c r="D731" s="42" t="s">
        <v>3215</v>
      </c>
      <c r="E731" s="42" t="s">
        <v>3216</v>
      </c>
      <c r="F731" s="42"/>
      <c r="G731" s="42">
        <v>20</v>
      </c>
      <c r="H731" s="43">
        <f>VLOOKUP(C731,[1]Sheet4!$B$2:$H$344,7,FALSE)</f>
        <v>50.23</v>
      </c>
      <c r="I731" s="43">
        <f t="shared" si="19"/>
        <v>1004.5999999999999</v>
      </c>
      <c r="J731" s="42" t="s">
        <v>14</v>
      </c>
      <c r="K731" s="44">
        <v>20</v>
      </c>
    </row>
    <row r="732" spans="1:11" ht="20.100000000000001" customHeight="1">
      <c r="A732" s="41">
        <v>726</v>
      </c>
      <c r="B732" s="42" t="s">
        <v>3217</v>
      </c>
      <c r="C732" s="42">
        <v>40774489</v>
      </c>
      <c r="D732" s="42" t="s">
        <v>3215</v>
      </c>
      <c r="E732" s="42" t="s">
        <v>3216</v>
      </c>
      <c r="F732" s="42"/>
      <c r="G732" s="42">
        <v>24</v>
      </c>
      <c r="H732" s="43">
        <f>VLOOKUP(C732,[1]Sheet4!$B$2:$H$344,7,FALSE)</f>
        <v>50.23</v>
      </c>
      <c r="I732" s="43">
        <f t="shared" si="19"/>
        <v>1205.52</v>
      </c>
      <c r="J732" s="42" t="s">
        <v>14</v>
      </c>
      <c r="K732" s="44">
        <v>16</v>
      </c>
    </row>
    <row r="733" spans="1:11" ht="20.100000000000001" customHeight="1">
      <c r="A733" s="37">
        <v>727</v>
      </c>
      <c r="B733" s="42" t="s">
        <v>3218</v>
      </c>
      <c r="C733" s="42">
        <v>40774888</v>
      </c>
      <c r="D733" s="42" t="s">
        <v>3219</v>
      </c>
      <c r="E733" s="42" t="s">
        <v>3220</v>
      </c>
      <c r="F733" s="42"/>
      <c r="G733" s="42">
        <v>28</v>
      </c>
      <c r="H733" s="43" t="e">
        <f>VLOOKUP(C733,[1]Sheet4!$B$2:$H$344,7,FALSE)</f>
        <v>#N/A</v>
      </c>
      <c r="I733" s="43" t="e">
        <f t="shared" si="19"/>
        <v>#N/A</v>
      </c>
      <c r="J733" s="42" t="s">
        <v>14</v>
      </c>
      <c r="K733" s="44">
        <v>24</v>
      </c>
    </row>
    <row r="734" spans="1:11" ht="20.100000000000001" customHeight="1">
      <c r="A734" s="41">
        <v>728</v>
      </c>
      <c r="B734" s="42" t="s">
        <v>3221</v>
      </c>
      <c r="C734" s="42">
        <v>40676678</v>
      </c>
      <c r="D734" s="42" t="s">
        <v>3219</v>
      </c>
      <c r="E734" s="42" t="s">
        <v>3220</v>
      </c>
      <c r="F734" s="42"/>
      <c r="G734" s="42">
        <v>12</v>
      </c>
      <c r="H734" s="43">
        <f>VLOOKUP(C734,[1]Sheet4!$B$2:$H$344,7,FALSE)</f>
        <v>143.91999999999999</v>
      </c>
      <c r="I734" s="43">
        <f t="shared" si="19"/>
        <v>1727.04</v>
      </c>
      <c r="J734" s="42" t="s">
        <v>14</v>
      </c>
      <c r="K734" s="44">
        <v>12</v>
      </c>
    </row>
    <row r="735" spans="1:11" ht="20.100000000000001" customHeight="1">
      <c r="A735" s="37">
        <v>729</v>
      </c>
      <c r="B735" s="42" t="s">
        <v>3222</v>
      </c>
      <c r="C735" s="42" t="s">
        <v>3223</v>
      </c>
      <c r="D735" s="42" t="s">
        <v>3224</v>
      </c>
      <c r="E735" s="42" t="s">
        <v>3225</v>
      </c>
      <c r="F735" s="42"/>
      <c r="G735" s="42">
        <v>4</v>
      </c>
      <c r="H735" s="43"/>
      <c r="I735" s="43">
        <f t="shared" si="19"/>
        <v>0</v>
      </c>
      <c r="J735" s="42" t="s">
        <v>175</v>
      </c>
      <c r="K735" s="44">
        <v>4</v>
      </c>
    </row>
    <row r="736" spans="1:11" ht="20.100000000000001" customHeight="1">
      <c r="A736" s="41">
        <v>730</v>
      </c>
      <c r="B736" s="42" t="s">
        <v>3226</v>
      </c>
      <c r="C736" s="42">
        <v>40703435</v>
      </c>
      <c r="D736" s="42" t="s">
        <v>3227</v>
      </c>
      <c r="E736" s="42" t="s">
        <v>3228</v>
      </c>
      <c r="F736" s="42"/>
      <c r="G736" s="42">
        <v>2</v>
      </c>
      <c r="H736" s="43">
        <f>VLOOKUP(C736,[1]Sheet4!$B$2:$H$344,7,FALSE)</f>
        <v>201.84</v>
      </c>
      <c r="I736" s="43">
        <f t="shared" si="19"/>
        <v>403.68</v>
      </c>
      <c r="J736" s="42" t="s">
        <v>14</v>
      </c>
      <c r="K736" s="44">
        <v>2</v>
      </c>
    </row>
    <row r="737" spans="1:11" ht="20.100000000000001" customHeight="1">
      <c r="A737" s="37">
        <v>731</v>
      </c>
      <c r="B737" s="42" t="s">
        <v>3229</v>
      </c>
      <c r="C737" s="42">
        <v>40678791</v>
      </c>
      <c r="D737" s="42" t="s">
        <v>3230</v>
      </c>
      <c r="E737" s="55" t="s">
        <v>3231</v>
      </c>
      <c r="F737" s="42"/>
      <c r="G737" s="42">
        <v>4</v>
      </c>
      <c r="H737" s="43">
        <f>VLOOKUP(C737,[1]Sheet4!$B$2:$H$344,7,FALSE)</f>
        <v>681.49</v>
      </c>
      <c r="I737" s="43">
        <f t="shared" si="19"/>
        <v>2725.96</v>
      </c>
      <c r="J737" s="42" t="s">
        <v>14</v>
      </c>
      <c r="K737" s="44">
        <v>4</v>
      </c>
    </row>
    <row r="738" spans="1:11" ht="20.100000000000001" customHeight="1">
      <c r="A738" s="41">
        <v>732</v>
      </c>
      <c r="B738" s="42" t="s">
        <v>3232</v>
      </c>
      <c r="C738" s="42">
        <v>40688023</v>
      </c>
      <c r="D738" s="42" t="s">
        <v>3233</v>
      </c>
      <c r="E738" s="42" t="s">
        <v>3234</v>
      </c>
      <c r="F738" s="42"/>
      <c r="G738" s="42">
        <v>1</v>
      </c>
      <c r="H738" s="43">
        <f>VLOOKUP(C738,[1]Sheet4!$B$2:$H$344,7,FALSE)</f>
        <v>5017.8999999999996</v>
      </c>
      <c r="I738" s="43">
        <f t="shared" si="19"/>
        <v>5017.8999999999996</v>
      </c>
      <c r="J738" s="42" t="s">
        <v>175</v>
      </c>
      <c r="K738" s="44">
        <v>1</v>
      </c>
    </row>
    <row r="739" spans="1:11" ht="20.100000000000001" customHeight="1">
      <c r="A739" s="37">
        <v>733</v>
      </c>
      <c r="B739" s="42" t="s">
        <v>3235</v>
      </c>
      <c r="C739" s="42" t="s">
        <v>3236</v>
      </c>
      <c r="D739" s="42" t="s">
        <v>3237</v>
      </c>
      <c r="E739" s="42" t="s">
        <v>3238</v>
      </c>
      <c r="F739" s="42"/>
      <c r="G739" s="42">
        <v>1</v>
      </c>
      <c r="H739" s="43"/>
      <c r="I739" s="43">
        <f t="shared" si="19"/>
        <v>0</v>
      </c>
      <c r="J739" s="42" t="s">
        <v>14</v>
      </c>
      <c r="K739" s="44">
        <v>1</v>
      </c>
    </row>
    <row r="740" spans="1:11" ht="20.100000000000001" customHeight="1">
      <c r="A740" s="41">
        <v>734</v>
      </c>
      <c r="B740" s="42" t="s">
        <v>3239</v>
      </c>
      <c r="C740" s="42" t="s">
        <v>3240</v>
      </c>
      <c r="D740" s="42" t="s">
        <v>3241</v>
      </c>
      <c r="E740" s="42" t="s">
        <v>3242</v>
      </c>
      <c r="F740" s="42" t="s">
        <v>3243</v>
      </c>
      <c r="G740" s="42">
        <v>140</v>
      </c>
      <c r="H740" s="43"/>
      <c r="I740" s="43">
        <f t="shared" si="19"/>
        <v>0</v>
      </c>
      <c r="J740" s="42" t="s">
        <v>14</v>
      </c>
      <c r="K740" s="44">
        <v>140</v>
      </c>
    </row>
    <row r="741" spans="1:11" ht="20.100000000000001" customHeight="1">
      <c r="A741" s="37">
        <v>735</v>
      </c>
      <c r="B741" s="42" t="s">
        <v>3244</v>
      </c>
      <c r="C741" s="42" t="s">
        <v>3245</v>
      </c>
      <c r="D741" s="42" t="s">
        <v>3246</v>
      </c>
      <c r="E741" s="42" t="s">
        <v>3247</v>
      </c>
      <c r="F741" s="42" t="s">
        <v>3248</v>
      </c>
      <c r="G741" s="42">
        <v>94</v>
      </c>
      <c r="H741" s="43"/>
      <c r="I741" s="43">
        <f t="shared" si="19"/>
        <v>0</v>
      </c>
      <c r="J741" s="42" t="s">
        <v>14</v>
      </c>
      <c r="K741" s="44">
        <v>94</v>
      </c>
    </row>
    <row r="742" spans="1:11" ht="20.100000000000001" customHeight="1">
      <c r="A742" s="41">
        <v>736</v>
      </c>
      <c r="B742" s="42" t="s">
        <v>3249</v>
      </c>
      <c r="C742" s="42" t="s">
        <v>3250</v>
      </c>
      <c r="D742" s="42" t="s">
        <v>3251</v>
      </c>
      <c r="E742" s="42" t="s">
        <v>3252</v>
      </c>
      <c r="F742" s="42" t="s">
        <v>3253</v>
      </c>
      <c r="G742" s="42">
        <v>19</v>
      </c>
      <c r="H742" s="43"/>
      <c r="I742" s="43">
        <f t="shared" si="19"/>
        <v>0</v>
      </c>
      <c r="J742" s="42" t="s">
        <v>14</v>
      </c>
      <c r="K742" s="44">
        <v>19</v>
      </c>
    </row>
    <row r="743" spans="1:11" ht="20.100000000000001" customHeight="1">
      <c r="A743" s="37">
        <v>737</v>
      </c>
      <c r="B743" s="42" t="s">
        <v>3254</v>
      </c>
      <c r="C743" s="42" t="s">
        <v>3255</v>
      </c>
      <c r="D743" s="42" t="s">
        <v>3256</v>
      </c>
      <c r="E743" s="42" t="s">
        <v>3257</v>
      </c>
      <c r="F743" s="42" t="s">
        <v>3258</v>
      </c>
      <c r="G743" s="42">
        <v>21</v>
      </c>
      <c r="H743" s="43"/>
      <c r="I743" s="43">
        <f t="shared" si="19"/>
        <v>0</v>
      </c>
      <c r="J743" s="42" t="s">
        <v>14</v>
      </c>
      <c r="K743" s="44">
        <v>21</v>
      </c>
    </row>
    <row r="744" spans="1:11" ht="20.100000000000001" customHeight="1">
      <c r="A744" s="41">
        <v>738</v>
      </c>
      <c r="B744" s="42" t="s">
        <v>3259</v>
      </c>
      <c r="C744" s="42" t="s">
        <v>3260</v>
      </c>
      <c r="D744" s="42" t="s">
        <v>3261</v>
      </c>
      <c r="E744" s="42" t="s">
        <v>3262</v>
      </c>
      <c r="F744" s="42"/>
      <c r="G744" s="42">
        <v>72</v>
      </c>
      <c r="H744" s="43"/>
      <c r="I744" s="43">
        <f t="shared" si="19"/>
        <v>0</v>
      </c>
      <c r="J744" s="42" t="s">
        <v>14</v>
      </c>
      <c r="K744" s="44">
        <v>72</v>
      </c>
    </row>
    <row r="745" spans="1:11" ht="20.100000000000001" customHeight="1">
      <c r="A745" s="37">
        <v>739</v>
      </c>
      <c r="B745" s="42" t="s">
        <v>3263</v>
      </c>
      <c r="C745" s="42" t="s">
        <v>3264</v>
      </c>
      <c r="D745" s="42" t="s">
        <v>3265</v>
      </c>
      <c r="E745" s="42" t="s">
        <v>3266</v>
      </c>
      <c r="F745" s="42" t="s">
        <v>3267</v>
      </c>
      <c r="G745" s="42">
        <v>11</v>
      </c>
      <c r="H745" s="43"/>
      <c r="I745" s="43">
        <f t="shared" si="19"/>
        <v>0</v>
      </c>
      <c r="J745" s="42" t="s">
        <v>14</v>
      </c>
      <c r="K745" s="44">
        <v>11</v>
      </c>
    </row>
    <row r="746" spans="1:11" ht="20.100000000000001" customHeight="1">
      <c r="A746" s="41">
        <v>740</v>
      </c>
      <c r="B746" s="42" t="s">
        <v>3268</v>
      </c>
      <c r="C746" s="42" t="s">
        <v>3269</v>
      </c>
      <c r="D746" s="42" t="s">
        <v>3270</v>
      </c>
      <c r="E746" s="42" t="s">
        <v>3271</v>
      </c>
      <c r="F746" s="42" t="s">
        <v>3272</v>
      </c>
      <c r="G746" s="42">
        <v>17</v>
      </c>
      <c r="H746" s="43"/>
      <c r="I746" s="43">
        <f t="shared" si="19"/>
        <v>0</v>
      </c>
      <c r="J746" s="42" t="s">
        <v>14</v>
      </c>
      <c r="K746" s="44">
        <v>17</v>
      </c>
    </row>
    <row r="747" spans="1:11" ht="20.100000000000001" customHeight="1">
      <c r="A747" s="37">
        <v>741</v>
      </c>
      <c r="B747" s="42" t="s">
        <v>3273</v>
      </c>
      <c r="C747" s="42" t="s">
        <v>3274</v>
      </c>
      <c r="D747" s="42" t="s">
        <v>3275</v>
      </c>
      <c r="E747" s="42" t="s">
        <v>3276</v>
      </c>
      <c r="F747" s="42" t="s">
        <v>3277</v>
      </c>
      <c r="G747" s="42">
        <v>128</v>
      </c>
      <c r="H747" s="43"/>
      <c r="I747" s="43">
        <f t="shared" si="19"/>
        <v>0</v>
      </c>
      <c r="J747" s="42" t="s">
        <v>14</v>
      </c>
      <c r="K747" s="44">
        <v>128</v>
      </c>
    </row>
    <row r="748" spans="1:11" ht="20.100000000000001" customHeight="1">
      <c r="A748" s="41">
        <v>742</v>
      </c>
      <c r="B748" s="42" t="s">
        <v>3278</v>
      </c>
      <c r="C748" s="42">
        <v>40691938</v>
      </c>
      <c r="D748" s="42" t="s">
        <v>3279</v>
      </c>
      <c r="E748" s="42" t="s">
        <v>3280</v>
      </c>
      <c r="F748" s="42"/>
      <c r="G748" s="42">
        <v>1</v>
      </c>
      <c r="H748" s="43">
        <f>VLOOKUP(C748,[1]Sheet4!$B$2:$H$344,7,FALSE)</f>
        <v>8529.61</v>
      </c>
      <c r="I748" s="43">
        <f t="shared" si="19"/>
        <v>8529.61</v>
      </c>
      <c r="J748" s="42" t="s">
        <v>59</v>
      </c>
      <c r="K748" s="44">
        <v>1</v>
      </c>
    </row>
    <row r="749" spans="1:11" ht="20.100000000000001" customHeight="1">
      <c r="A749" s="37">
        <v>743</v>
      </c>
      <c r="B749" s="42" t="s">
        <v>3281</v>
      </c>
      <c r="C749" s="42">
        <v>40691943</v>
      </c>
      <c r="D749" s="42" t="s">
        <v>3282</v>
      </c>
      <c r="E749" s="42" t="s">
        <v>3283</v>
      </c>
      <c r="F749" s="42"/>
      <c r="G749" s="42">
        <v>1</v>
      </c>
      <c r="H749" s="43">
        <f>VLOOKUP(C749,[1]Sheet4!$B$2:$H$344,7,FALSE)</f>
        <v>7563.06</v>
      </c>
      <c r="I749" s="43">
        <f t="shared" si="19"/>
        <v>7563.06</v>
      </c>
      <c r="J749" s="42" t="s">
        <v>59</v>
      </c>
      <c r="K749" s="44">
        <v>1</v>
      </c>
    </row>
    <row r="750" spans="1:11" ht="20.100000000000001" customHeight="1">
      <c r="A750" s="41">
        <v>744</v>
      </c>
      <c r="B750" s="42" t="s">
        <v>3284</v>
      </c>
      <c r="C750" s="42" t="s">
        <v>3285</v>
      </c>
      <c r="D750" s="42" t="s">
        <v>3286</v>
      </c>
      <c r="E750" s="42" t="s">
        <v>3287</v>
      </c>
      <c r="F750" s="42" t="s">
        <v>3288</v>
      </c>
      <c r="G750" s="42">
        <v>1</v>
      </c>
      <c r="H750" s="43"/>
      <c r="I750" s="43">
        <f t="shared" si="19"/>
        <v>0</v>
      </c>
      <c r="J750" s="42" t="s">
        <v>59</v>
      </c>
      <c r="K750" s="44">
        <v>1</v>
      </c>
    </row>
    <row r="751" spans="1:11" ht="20.100000000000001" customHeight="1">
      <c r="A751" s="37">
        <v>745</v>
      </c>
      <c r="B751" s="42" t="s">
        <v>3289</v>
      </c>
      <c r="C751" s="42" t="s">
        <v>3290</v>
      </c>
      <c r="D751" s="42" t="s">
        <v>3291</v>
      </c>
      <c r="E751" s="42" t="s">
        <v>3292</v>
      </c>
      <c r="F751" s="42"/>
      <c r="G751" s="42">
        <v>6</v>
      </c>
      <c r="H751" s="43"/>
      <c r="I751" s="43">
        <f t="shared" si="19"/>
        <v>0</v>
      </c>
      <c r="J751" s="42" t="s">
        <v>14</v>
      </c>
      <c r="K751" s="44">
        <v>6</v>
      </c>
    </row>
    <row r="752" spans="1:11" ht="20.100000000000001" customHeight="1">
      <c r="A752" s="41">
        <v>746</v>
      </c>
      <c r="B752" s="42" t="s">
        <v>3293</v>
      </c>
      <c r="C752" s="42" t="s">
        <v>3294</v>
      </c>
      <c r="D752" s="42" t="s">
        <v>3295</v>
      </c>
      <c r="E752" s="42" t="s">
        <v>3296</v>
      </c>
      <c r="F752" s="42"/>
      <c r="G752" s="42">
        <v>19</v>
      </c>
      <c r="H752" s="43"/>
      <c r="I752" s="43">
        <f t="shared" si="19"/>
        <v>0</v>
      </c>
      <c r="J752" s="42" t="s">
        <v>14</v>
      </c>
      <c r="K752" s="44">
        <v>19</v>
      </c>
    </row>
    <row r="753" spans="1:11" ht="20.100000000000001" customHeight="1">
      <c r="A753" s="37">
        <v>747</v>
      </c>
      <c r="B753" s="42" t="s">
        <v>3297</v>
      </c>
      <c r="C753" s="42" t="s">
        <v>3298</v>
      </c>
      <c r="D753" s="42" t="s">
        <v>3299</v>
      </c>
      <c r="E753" s="42" t="s">
        <v>3300</v>
      </c>
      <c r="F753" s="42" t="s">
        <v>3301</v>
      </c>
      <c r="G753" s="42">
        <v>163</v>
      </c>
      <c r="H753" s="43"/>
      <c r="I753" s="43">
        <f t="shared" si="19"/>
        <v>0</v>
      </c>
      <c r="J753" s="42" t="s">
        <v>14</v>
      </c>
      <c r="K753" s="44">
        <v>163</v>
      </c>
    </row>
    <row r="754" spans="1:11" ht="20.100000000000001" customHeight="1">
      <c r="A754" s="41">
        <v>748</v>
      </c>
      <c r="B754" s="42" t="s">
        <v>3302</v>
      </c>
      <c r="C754" s="42" t="s">
        <v>3303</v>
      </c>
      <c r="D754" s="42" t="s">
        <v>3299</v>
      </c>
      <c r="E754" s="42" t="s">
        <v>3300</v>
      </c>
      <c r="F754" s="42" t="s">
        <v>3304</v>
      </c>
      <c r="G754" s="42">
        <v>16</v>
      </c>
      <c r="H754" s="43"/>
      <c r="I754" s="43">
        <f t="shared" si="19"/>
        <v>0</v>
      </c>
      <c r="J754" s="42" t="s">
        <v>14</v>
      </c>
      <c r="K754" s="44">
        <v>16</v>
      </c>
    </row>
    <row r="755" spans="1:11" ht="20.100000000000001" customHeight="1">
      <c r="A755" s="37">
        <v>749</v>
      </c>
      <c r="B755" s="42" t="s">
        <v>3305</v>
      </c>
      <c r="C755" s="42" t="s">
        <v>3306</v>
      </c>
      <c r="D755" s="42" t="s">
        <v>3299</v>
      </c>
      <c r="E755" s="42" t="s">
        <v>3300</v>
      </c>
      <c r="F755" s="42" t="s">
        <v>3307</v>
      </c>
      <c r="G755" s="42">
        <v>46</v>
      </c>
      <c r="H755" s="43"/>
      <c r="I755" s="43">
        <f t="shared" si="19"/>
        <v>0</v>
      </c>
      <c r="J755" s="42" t="s">
        <v>14</v>
      </c>
      <c r="K755" s="44">
        <v>46</v>
      </c>
    </row>
    <row r="756" spans="1:11" ht="20.100000000000001" customHeight="1">
      <c r="A756" s="41">
        <v>750</v>
      </c>
      <c r="B756" s="42" t="s">
        <v>3308</v>
      </c>
      <c r="C756" s="42" t="s">
        <v>3309</v>
      </c>
      <c r="D756" s="42" t="s">
        <v>3310</v>
      </c>
      <c r="E756" s="42" t="s">
        <v>3311</v>
      </c>
      <c r="F756" s="42" t="s">
        <v>3312</v>
      </c>
      <c r="G756" s="42">
        <v>2</v>
      </c>
      <c r="H756" s="43"/>
      <c r="I756" s="43">
        <f t="shared" si="19"/>
        <v>0</v>
      </c>
      <c r="J756" s="42" t="s">
        <v>14</v>
      </c>
      <c r="K756" s="44">
        <v>2</v>
      </c>
    </row>
    <row r="757" spans="1:11" ht="20.100000000000001" customHeight="1">
      <c r="A757" s="37">
        <v>751</v>
      </c>
      <c r="B757" s="42" t="s">
        <v>3313</v>
      </c>
      <c r="C757" s="42">
        <v>40630526</v>
      </c>
      <c r="D757" s="42" t="s">
        <v>3314</v>
      </c>
      <c r="E757" s="42" t="s">
        <v>3315</v>
      </c>
      <c r="F757" s="42">
        <v>2657999310</v>
      </c>
      <c r="G757" s="42">
        <v>2</v>
      </c>
      <c r="H757" s="43">
        <f>VLOOKUP(C757,[1]Sheet4!$B$2:$H$344,7,FALSE)</f>
        <v>637.32000000000005</v>
      </c>
      <c r="I757" s="43">
        <f t="shared" si="19"/>
        <v>1274.6400000000001</v>
      </c>
      <c r="J757" s="42" t="s">
        <v>14</v>
      </c>
      <c r="K757" s="44">
        <v>2</v>
      </c>
    </row>
    <row r="758" spans="1:11" ht="20.100000000000001" customHeight="1">
      <c r="A758" s="41">
        <v>752</v>
      </c>
      <c r="B758" s="42" t="s">
        <v>3316</v>
      </c>
      <c r="C758" s="42">
        <v>40804057</v>
      </c>
      <c r="D758" s="42" t="s">
        <v>3317</v>
      </c>
      <c r="E758" s="42" t="s">
        <v>3318</v>
      </c>
      <c r="F758" s="42"/>
      <c r="G758" s="42">
        <v>2</v>
      </c>
      <c r="H758" s="43">
        <f>VLOOKUP(C758,[1]Sheet4!$B$2:$H$344,7,FALSE)</f>
        <v>709.14</v>
      </c>
      <c r="I758" s="43">
        <f t="shared" si="19"/>
        <v>1418.28</v>
      </c>
      <c r="J758" s="42" t="s">
        <v>59</v>
      </c>
      <c r="K758" s="44">
        <v>2</v>
      </c>
    </row>
    <row r="759" spans="1:11" ht="20.100000000000001" customHeight="1">
      <c r="A759" s="37">
        <v>753</v>
      </c>
      <c r="B759" s="42" t="s">
        <v>3319</v>
      </c>
      <c r="C759" s="42">
        <v>49722954</v>
      </c>
      <c r="D759" s="42" t="s">
        <v>3320</v>
      </c>
      <c r="E759" s="42" t="s">
        <v>3321</v>
      </c>
      <c r="F759" s="42" t="s">
        <v>3322</v>
      </c>
      <c r="G759" s="42">
        <v>6</v>
      </c>
      <c r="H759" s="43" t="e">
        <f>VLOOKUP(C759,[1]Sheet4!$B$2:$H$344,7,FALSE)</f>
        <v>#N/A</v>
      </c>
      <c r="I759" s="43" t="e">
        <f t="shared" si="19"/>
        <v>#N/A</v>
      </c>
      <c r="J759" s="42" t="s">
        <v>14</v>
      </c>
      <c r="K759" s="44">
        <v>0</v>
      </c>
    </row>
    <row r="760" spans="1:11" ht="20.100000000000001" customHeight="1">
      <c r="A760" s="37"/>
      <c r="B760" s="42" t="s">
        <v>3319</v>
      </c>
      <c r="C760" s="42">
        <v>40453324</v>
      </c>
      <c r="D760" s="42"/>
      <c r="E760" s="42"/>
      <c r="F760" s="42"/>
      <c r="G760" s="42">
        <v>27</v>
      </c>
      <c r="H760" s="43"/>
      <c r="I760" s="43"/>
      <c r="J760" s="42"/>
      <c r="K760" s="44">
        <v>27</v>
      </c>
    </row>
    <row r="761" spans="1:11" ht="20.100000000000001" customHeight="1">
      <c r="A761" s="37"/>
      <c r="B761" s="42" t="s">
        <v>3319</v>
      </c>
      <c r="C761" s="42" t="s">
        <v>3438</v>
      </c>
      <c r="D761" s="42"/>
      <c r="E761" s="42"/>
      <c r="F761" s="42"/>
      <c r="G761" s="42">
        <v>1</v>
      </c>
      <c r="H761" s="43"/>
      <c r="I761" s="43"/>
      <c r="J761" s="42"/>
      <c r="K761" s="44">
        <v>1</v>
      </c>
    </row>
    <row r="762" spans="1:11" ht="20.100000000000001" customHeight="1">
      <c r="A762" s="37"/>
      <c r="B762" s="42" t="s">
        <v>3319</v>
      </c>
      <c r="C762" s="42" t="s">
        <v>3437</v>
      </c>
      <c r="D762" s="42"/>
      <c r="E762" s="42"/>
      <c r="F762" s="42"/>
      <c r="G762" s="42">
        <v>2</v>
      </c>
      <c r="H762" s="43"/>
      <c r="I762" s="43"/>
      <c r="J762" s="42"/>
      <c r="K762" s="44">
        <v>2</v>
      </c>
    </row>
    <row r="763" spans="1:11" ht="20.100000000000001" customHeight="1">
      <c r="A763" s="41">
        <v>754</v>
      </c>
      <c r="B763" s="42" t="s">
        <v>3319</v>
      </c>
      <c r="C763" s="42"/>
      <c r="D763" s="42" t="s">
        <v>3323</v>
      </c>
      <c r="E763" s="42" t="s">
        <v>3324</v>
      </c>
      <c r="F763" s="42"/>
      <c r="G763" s="42">
        <v>7</v>
      </c>
      <c r="H763" s="43"/>
      <c r="I763" s="43">
        <f t="shared" si="19"/>
        <v>0</v>
      </c>
      <c r="J763" s="42" t="s">
        <v>14</v>
      </c>
      <c r="K763" s="44">
        <v>0</v>
      </c>
    </row>
    <row r="764" spans="1:11" ht="20.100000000000001" customHeight="1">
      <c r="A764" s="37">
        <v>755</v>
      </c>
      <c r="B764" s="42" t="s">
        <v>3325</v>
      </c>
      <c r="C764" s="42">
        <v>40759898</v>
      </c>
      <c r="D764" s="42" t="s">
        <v>3326</v>
      </c>
      <c r="E764" s="42" t="s">
        <v>3327</v>
      </c>
      <c r="F764" s="42"/>
      <c r="G764" s="42">
        <v>30</v>
      </c>
      <c r="H764" s="43">
        <f>VLOOKUP(C764,[1]Sheet4!$B$2:$H$344,7,FALSE)</f>
        <v>176.39</v>
      </c>
      <c r="I764" s="43">
        <f t="shared" si="19"/>
        <v>5291.7</v>
      </c>
      <c r="J764" s="42" t="s">
        <v>14</v>
      </c>
      <c r="K764" s="44">
        <v>30</v>
      </c>
    </row>
    <row r="765" spans="1:11" ht="20.100000000000001" customHeight="1">
      <c r="A765" s="41">
        <v>756</v>
      </c>
      <c r="B765" s="42" t="s">
        <v>3325</v>
      </c>
      <c r="C765" s="42">
        <v>40759899</v>
      </c>
      <c r="D765" s="42" t="s">
        <v>3328</v>
      </c>
      <c r="E765" s="42" t="s">
        <v>3329</v>
      </c>
      <c r="F765" s="42"/>
      <c r="G765" s="42">
        <v>25</v>
      </c>
      <c r="H765" s="43">
        <f>VLOOKUP(C765,[1]Sheet4!$B$2:$H$344,7,FALSE)</f>
        <v>122.12</v>
      </c>
      <c r="I765" s="43">
        <f t="shared" si="19"/>
        <v>3053</v>
      </c>
      <c r="J765" s="42" t="s">
        <v>14</v>
      </c>
      <c r="K765" s="44">
        <v>0</v>
      </c>
    </row>
    <row r="766" spans="1:11" ht="20.100000000000001" customHeight="1">
      <c r="A766" s="37">
        <v>757</v>
      </c>
      <c r="B766" s="42" t="s">
        <v>3330</v>
      </c>
      <c r="C766" s="42"/>
      <c r="D766" s="42" t="s">
        <v>3331</v>
      </c>
      <c r="E766" s="42" t="s">
        <v>3332</v>
      </c>
      <c r="F766" s="42"/>
      <c r="G766" s="42">
        <v>14</v>
      </c>
      <c r="H766" s="43"/>
      <c r="I766" s="43">
        <f t="shared" si="19"/>
        <v>0</v>
      </c>
      <c r="J766" s="42" t="s">
        <v>14</v>
      </c>
      <c r="K766" s="44">
        <v>0</v>
      </c>
    </row>
    <row r="767" spans="1:11" ht="20.100000000000001" customHeight="1">
      <c r="A767" s="41">
        <v>758</v>
      </c>
      <c r="B767" s="42" t="s">
        <v>3333</v>
      </c>
      <c r="C767" s="42">
        <v>40535511</v>
      </c>
      <c r="D767" s="42" t="s">
        <v>3334</v>
      </c>
      <c r="E767" s="42" t="s">
        <v>3335</v>
      </c>
      <c r="F767" s="42"/>
      <c r="G767" s="42">
        <v>14</v>
      </c>
      <c r="H767" s="43">
        <f>VLOOKUP(C767,[1]Sheet4!$B$2:$H$344,7,FALSE)</f>
        <v>5.21</v>
      </c>
      <c r="I767" s="43">
        <f t="shared" si="19"/>
        <v>72.94</v>
      </c>
      <c r="J767" s="42" t="s">
        <v>14</v>
      </c>
      <c r="K767" s="44">
        <v>0</v>
      </c>
    </row>
    <row r="768" spans="1:11" ht="20.100000000000001" customHeight="1">
      <c r="A768" s="37">
        <v>759</v>
      </c>
      <c r="B768" s="42" t="s">
        <v>3333</v>
      </c>
      <c r="C768" s="42">
        <v>40790919</v>
      </c>
      <c r="D768" s="42" t="s">
        <v>3336</v>
      </c>
      <c r="E768" s="42" t="s">
        <v>3337</v>
      </c>
      <c r="F768" s="42"/>
      <c r="G768" s="42">
        <v>30</v>
      </c>
      <c r="H768" s="43">
        <f>VLOOKUP(C768,[1]Sheet4!$B$2:$H$344,7,FALSE)</f>
        <v>78.709999999999994</v>
      </c>
      <c r="I768" s="43">
        <f t="shared" si="19"/>
        <v>2361.2999999999997</v>
      </c>
      <c r="J768" s="42" t="s">
        <v>14</v>
      </c>
      <c r="K768" s="44">
        <v>0</v>
      </c>
    </row>
    <row r="769" spans="1:11" ht="20.100000000000001" customHeight="1">
      <c r="A769" s="41">
        <v>760</v>
      </c>
      <c r="B769" s="42" t="s">
        <v>3333</v>
      </c>
      <c r="C769" s="42">
        <v>40790921</v>
      </c>
      <c r="D769" s="42" t="s">
        <v>3338</v>
      </c>
      <c r="E769" s="42" t="s">
        <v>3339</v>
      </c>
      <c r="F769" s="42"/>
      <c r="G769" s="42">
        <v>59</v>
      </c>
      <c r="H769" s="43">
        <f>VLOOKUP(C769,[1]Sheet4!$B$2:$H$344,7,FALSE)</f>
        <v>80.17</v>
      </c>
      <c r="I769" s="43">
        <f t="shared" si="19"/>
        <v>4730.03</v>
      </c>
      <c r="J769" s="42" t="s">
        <v>14</v>
      </c>
      <c r="K769" s="44">
        <v>0</v>
      </c>
    </row>
    <row r="770" spans="1:11" ht="20.100000000000001" customHeight="1">
      <c r="A770" s="37">
        <v>761</v>
      </c>
      <c r="B770" s="42" t="s">
        <v>3333</v>
      </c>
      <c r="C770" s="42">
        <v>40790922</v>
      </c>
      <c r="D770" s="42" t="s">
        <v>3340</v>
      </c>
      <c r="E770" s="42" t="s">
        <v>3341</v>
      </c>
      <c r="F770" s="42"/>
      <c r="G770" s="42">
        <v>108</v>
      </c>
      <c r="H770" s="43">
        <f>VLOOKUP(C770,[1]Sheet4!$B$2:$H$344,7,FALSE)</f>
        <v>88.96</v>
      </c>
      <c r="I770" s="43">
        <f t="shared" si="19"/>
        <v>9607.6799999999985</v>
      </c>
      <c r="J770" s="42" t="s">
        <v>14</v>
      </c>
      <c r="K770" s="44">
        <v>0</v>
      </c>
    </row>
    <row r="771" spans="1:11" ht="20.100000000000001" customHeight="1">
      <c r="A771" s="41">
        <v>762</v>
      </c>
      <c r="B771" s="42" t="s">
        <v>3333</v>
      </c>
      <c r="C771" s="42">
        <v>40790918</v>
      </c>
      <c r="D771" s="42" t="s">
        <v>3342</v>
      </c>
      <c r="E771" s="42" t="s">
        <v>3343</v>
      </c>
      <c r="F771" s="42"/>
      <c r="G771" s="42">
        <v>72</v>
      </c>
      <c r="H771" s="43">
        <f>VLOOKUP(C771,[1]Sheet4!$B$2:$H$344,7,FALSE)</f>
        <v>45</v>
      </c>
      <c r="I771" s="43">
        <f t="shared" si="19"/>
        <v>3240</v>
      </c>
      <c r="J771" s="42" t="s">
        <v>14</v>
      </c>
      <c r="K771" s="44">
        <v>0</v>
      </c>
    </row>
    <row r="772" spans="1:11" ht="20.100000000000001" customHeight="1">
      <c r="A772" s="37">
        <v>763</v>
      </c>
      <c r="B772" s="42" t="s">
        <v>3333</v>
      </c>
      <c r="C772" s="42">
        <v>40164238</v>
      </c>
      <c r="D772" s="42" t="s">
        <v>3344</v>
      </c>
      <c r="E772" s="42" t="s">
        <v>3345</v>
      </c>
      <c r="F772" s="42"/>
      <c r="G772" s="42">
        <v>1</v>
      </c>
      <c r="H772" s="43">
        <f>VLOOKUP(C772,[1]Sheet4!$B$2:$H$344,7,FALSE)</f>
        <v>112.73</v>
      </c>
      <c r="I772" s="43">
        <f t="shared" si="19"/>
        <v>112.73</v>
      </c>
      <c r="J772" s="42" t="s">
        <v>14</v>
      </c>
      <c r="K772" s="44">
        <v>0</v>
      </c>
    </row>
    <row r="773" spans="1:11" ht="20.100000000000001" customHeight="1">
      <c r="A773" s="41">
        <v>764</v>
      </c>
      <c r="B773" s="42" t="s">
        <v>3333</v>
      </c>
      <c r="C773" s="42">
        <v>40790920</v>
      </c>
      <c r="D773" s="42" t="s">
        <v>3346</v>
      </c>
      <c r="E773" s="42" t="s">
        <v>3347</v>
      </c>
      <c r="F773" s="42"/>
      <c r="G773" s="42">
        <v>88</v>
      </c>
      <c r="H773" s="43">
        <f>VLOOKUP(C773,[1]Sheet4!$B$2:$H$344,7,FALSE)</f>
        <v>216.96</v>
      </c>
      <c r="I773" s="43">
        <f t="shared" si="19"/>
        <v>19092.48</v>
      </c>
      <c r="J773" s="42" t="s">
        <v>14</v>
      </c>
      <c r="K773" s="44">
        <v>0</v>
      </c>
    </row>
    <row r="774" spans="1:11" ht="20.100000000000001" customHeight="1">
      <c r="A774" s="37">
        <v>765</v>
      </c>
      <c r="B774" s="42" t="s">
        <v>3348</v>
      </c>
      <c r="C774" s="42">
        <v>40754480</v>
      </c>
      <c r="D774" s="42" t="s">
        <v>3349</v>
      </c>
      <c r="E774" s="42" t="s">
        <v>3350</v>
      </c>
      <c r="F774" s="42" t="s">
        <v>3351</v>
      </c>
      <c r="G774" s="42">
        <v>4</v>
      </c>
      <c r="H774" s="43">
        <f>VLOOKUP(C774,[1]Sheet4!$B$2:$H$344,7,FALSE)</f>
        <v>151.06</v>
      </c>
      <c r="I774" s="43">
        <f t="shared" si="19"/>
        <v>604.24</v>
      </c>
      <c r="J774" s="42" t="s">
        <v>14</v>
      </c>
      <c r="K774" s="44">
        <v>4</v>
      </c>
    </row>
    <row r="775" spans="1:11" ht="20.100000000000001" customHeight="1">
      <c r="A775" s="41">
        <v>766</v>
      </c>
      <c r="B775" s="42" t="s">
        <v>3348</v>
      </c>
      <c r="C775" s="42">
        <v>40678845</v>
      </c>
      <c r="D775" s="42" t="s">
        <v>3352</v>
      </c>
      <c r="E775" s="42" t="s">
        <v>3353</v>
      </c>
      <c r="F775" s="42" t="s">
        <v>3354</v>
      </c>
      <c r="G775" s="42">
        <v>11</v>
      </c>
      <c r="H775" s="43">
        <f>VLOOKUP(C775,[1]Sheet4!$B$2:$H$344,7,FALSE)</f>
        <v>124.15</v>
      </c>
      <c r="I775" s="43">
        <f t="shared" si="19"/>
        <v>1365.65</v>
      </c>
      <c r="J775" s="42" t="s">
        <v>14</v>
      </c>
      <c r="K775" s="44">
        <v>11</v>
      </c>
    </row>
    <row r="776" spans="1:11" ht="20.100000000000001" customHeight="1">
      <c r="A776" s="37">
        <v>767</v>
      </c>
      <c r="B776" s="42" t="s">
        <v>3348</v>
      </c>
      <c r="C776" s="42">
        <v>40250191</v>
      </c>
      <c r="D776" s="42" t="s">
        <v>3355</v>
      </c>
      <c r="E776" s="42" t="s">
        <v>3356</v>
      </c>
      <c r="F776" s="42" t="s">
        <v>3357</v>
      </c>
      <c r="G776" s="42">
        <v>16</v>
      </c>
      <c r="H776" s="43">
        <f>VLOOKUP(C776,[1]Sheet4!$B$2:$H$344,7,FALSE)</f>
        <v>91.66</v>
      </c>
      <c r="I776" s="43">
        <f t="shared" si="19"/>
        <v>1466.56</v>
      </c>
      <c r="J776" s="42" t="s">
        <v>14</v>
      </c>
      <c r="K776" s="44">
        <v>16</v>
      </c>
    </row>
    <row r="777" spans="1:11" ht="20.100000000000001" customHeight="1">
      <c r="A777" s="41">
        <v>768</v>
      </c>
      <c r="B777" s="42" t="s">
        <v>3348</v>
      </c>
      <c r="C777" s="42">
        <v>40675887</v>
      </c>
      <c r="D777" s="42" t="s">
        <v>3358</v>
      </c>
      <c r="E777" s="42" t="s">
        <v>3359</v>
      </c>
      <c r="F777" s="42"/>
      <c r="G777" s="42">
        <v>4</v>
      </c>
      <c r="H777" s="43">
        <f>VLOOKUP(C777,[1]Sheet4!$B$2:$H$344,7,FALSE)</f>
        <v>337.44</v>
      </c>
      <c r="I777" s="43">
        <f t="shared" si="19"/>
        <v>1349.76</v>
      </c>
      <c r="J777" s="42" t="s">
        <v>14</v>
      </c>
      <c r="K777" s="44">
        <v>0</v>
      </c>
    </row>
    <row r="778" spans="1:11" ht="20.100000000000001" customHeight="1">
      <c r="A778" s="37">
        <v>769</v>
      </c>
      <c r="B778" s="42" t="s">
        <v>3348</v>
      </c>
      <c r="C778" s="42" t="s">
        <v>3360</v>
      </c>
      <c r="D778" s="42" t="s">
        <v>3361</v>
      </c>
      <c r="E778" s="42" t="s">
        <v>3362</v>
      </c>
      <c r="F778" s="42"/>
      <c r="G778" s="42">
        <v>1</v>
      </c>
      <c r="H778" s="43"/>
      <c r="I778" s="43">
        <f t="shared" si="19"/>
        <v>0</v>
      </c>
      <c r="J778" s="42" t="s">
        <v>14</v>
      </c>
      <c r="K778" s="44">
        <v>1</v>
      </c>
    </row>
    <row r="779" spans="1:11" ht="20.100000000000001" customHeight="1">
      <c r="A779" s="41">
        <v>770</v>
      </c>
      <c r="B779" s="50" t="s">
        <v>3348</v>
      </c>
      <c r="C779" s="50"/>
      <c r="D779" s="50"/>
      <c r="E779" s="50"/>
      <c r="F779" s="50"/>
      <c r="G779" s="50">
        <v>5</v>
      </c>
      <c r="H779" s="58"/>
      <c r="I779" s="58">
        <f t="shared" si="19"/>
        <v>0</v>
      </c>
      <c r="J779" s="42" t="s">
        <v>14</v>
      </c>
      <c r="K779" s="59">
        <v>5</v>
      </c>
    </row>
    <row r="780" spans="1:11" ht="20.100000000000001" customHeight="1">
      <c r="A780" s="37">
        <v>771</v>
      </c>
      <c r="B780" s="42" t="s">
        <v>3348</v>
      </c>
      <c r="C780" s="42">
        <v>40774479</v>
      </c>
      <c r="D780" s="42" t="s">
        <v>3363</v>
      </c>
      <c r="E780" s="42" t="s">
        <v>3364</v>
      </c>
      <c r="F780" s="42"/>
      <c r="G780" s="42">
        <v>1</v>
      </c>
      <c r="H780" s="43" t="e">
        <f>VLOOKUP(C780,[1]Sheet4!$B$2:$H$344,7,FALSE)</f>
        <v>#N/A</v>
      </c>
      <c r="I780" s="43" t="e">
        <f t="shared" si="19"/>
        <v>#N/A</v>
      </c>
      <c r="J780" s="42" t="s">
        <v>14</v>
      </c>
      <c r="K780" s="44">
        <v>1</v>
      </c>
    </row>
    <row r="781" spans="1:11" ht="20.100000000000001" customHeight="1">
      <c r="A781" s="41">
        <v>772</v>
      </c>
      <c r="B781" s="42" t="s">
        <v>3348</v>
      </c>
      <c r="C781" s="42">
        <v>40248903</v>
      </c>
      <c r="D781" s="42" t="s">
        <v>3365</v>
      </c>
      <c r="E781" s="42" t="s">
        <v>3366</v>
      </c>
      <c r="F781" s="42"/>
      <c r="G781" s="42">
        <v>5</v>
      </c>
      <c r="H781" s="43">
        <f>VLOOKUP(C781,[1]Sheet4!$B$2:$H$344,7,FALSE)</f>
        <v>130.18</v>
      </c>
      <c r="I781" s="43">
        <f t="shared" si="19"/>
        <v>650.90000000000009</v>
      </c>
      <c r="J781" s="42" t="s">
        <v>14</v>
      </c>
      <c r="K781" s="44">
        <v>3</v>
      </c>
    </row>
    <row r="782" spans="1:11" ht="20.100000000000001" customHeight="1">
      <c r="A782" s="37">
        <v>773</v>
      </c>
      <c r="B782" s="42" t="s">
        <v>3367</v>
      </c>
      <c r="C782" s="42">
        <v>40693976</v>
      </c>
      <c r="D782" s="42" t="s">
        <v>3368</v>
      </c>
      <c r="E782" s="42" t="s">
        <v>3369</v>
      </c>
      <c r="F782" s="42"/>
      <c r="G782" s="42">
        <v>10</v>
      </c>
      <c r="H782" s="43">
        <f>VLOOKUP(C782,[1]Sheet4!$B$2:$H$344,7,FALSE)</f>
        <v>888.08</v>
      </c>
      <c r="I782" s="43">
        <f t="shared" si="19"/>
        <v>8880.8000000000011</v>
      </c>
      <c r="J782" s="42" t="s">
        <v>14</v>
      </c>
      <c r="K782" s="44">
        <v>10</v>
      </c>
    </row>
    <row r="783" spans="1:11" ht="20.100000000000001" customHeight="1">
      <c r="A783" s="41">
        <v>774</v>
      </c>
      <c r="B783" s="42" t="s">
        <v>3367</v>
      </c>
      <c r="C783" s="42">
        <v>40684084</v>
      </c>
      <c r="D783" s="42" t="s">
        <v>3370</v>
      </c>
      <c r="E783" s="42" t="s">
        <v>3371</v>
      </c>
      <c r="F783" s="42" t="s">
        <v>3372</v>
      </c>
      <c r="G783" s="42">
        <v>4</v>
      </c>
      <c r="H783" s="43">
        <f>VLOOKUP(C783,[1]Sheet4!$B$2:$H$344,7,FALSE)</f>
        <v>287.47000000000003</v>
      </c>
      <c r="I783" s="43">
        <f t="shared" si="19"/>
        <v>1149.8800000000001</v>
      </c>
      <c r="J783" s="42" t="s">
        <v>14</v>
      </c>
      <c r="K783" s="44">
        <v>4</v>
      </c>
    </row>
    <row r="784" spans="1:11" ht="20.100000000000001" customHeight="1">
      <c r="A784" s="37">
        <v>775</v>
      </c>
      <c r="B784" s="42" t="s">
        <v>3367</v>
      </c>
      <c r="C784" s="42" t="s">
        <v>3373</v>
      </c>
      <c r="D784" s="42" t="s">
        <v>3374</v>
      </c>
      <c r="E784" s="42" t="s">
        <v>3374</v>
      </c>
      <c r="F784" s="42" t="s">
        <v>3375</v>
      </c>
      <c r="G784" s="42">
        <v>1</v>
      </c>
      <c r="H784" s="43"/>
      <c r="I784" s="43">
        <f t="shared" si="19"/>
        <v>0</v>
      </c>
      <c r="J784" s="42" t="s">
        <v>14</v>
      </c>
      <c r="K784" s="44">
        <v>1</v>
      </c>
    </row>
    <row r="785" spans="1:11" ht="20.100000000000001" customHeight="1">
      <c r="A785" s="41">
        <v>776</v>
      </c>
      <c r="B785" s="42" t="s">
        <v>3367</v>
      </c>
      <c r="C785" s="42">
        <v>40725061</v>
      </c>
      <c r="D785" s="42" t="s">
        <v>3376</v>
      </c>
      <c r="E785" s="42" t="s">
        <v>3377</v>
      </c>
      <c r="F785" s="42"/>
      <c r="G785" s="42">
        <v>1</v>
      </c>
      <c r="H785" s="43">
        <f>VLOOKUP(C785,[1]Sheet4!$B$2:$H$344,7,FALSE)</f>
        <v>1609.74</v>
      </c>
      <c r="I785" s="43">
        <f t="shared" si="19"/>
        <v>1609.74</v>
      </c>
      <c r="J785" s="42" t="s">
        <v>14</v>
      </c>
      <c r="K785" s="44">
        <v>1</v>
      </c>
    </row>
    <row r="786" spans="1:11" ht="20.100000000000001" customHeight="1">
      <c r="A786" s="37">
        <v>777</v>
      </c>
      <c r="B786" s="60" t="s">
        <v>3378</v>
      </c>
      <c r="C786" s="60">
        <v>40131323</v>
      </c>
      <c r="D786" s="60" t="s">
        <v>2018</v>
      </c>
      <c r="E786" s="60" t="s">
        <v>2019</v>
      </c>
      <c r="F786" s="60"/>
      <c r="G786" s="60">
        <v>380</v>
      </c>
      <c r="H786" s="61">
        <f>VLOOKUP(C786,[1]Sheet4!$B$2:$H$344,7,FALSE)</f>
        <v>179.29</v>
      </c>
      <c r="I786" s="61">
        <f t="shared" si="19"/>
        <v>68130.2</v>
      </c>
      <c r="J786" s="60" t="s">
        <v>14</v>
      </c>
      <c r="K786" s="62">
        <v>366</v>
      </c>
    </row>
    <row r="787" spans="1:11">
      <c r="H787" s="29"/>
      <c r="I787" s="29"/>
    </row>
  </sheetData>
  <autoFilter ref="A2:CM786"/>
  <pageMargins left="0.70069444444444495" right="0.70069444444444495" top="0.75138888888888899" bottom="0.75138888888888899" header="0.29861111111111099" footer="0.29861111111111099"/>
  <pageSetup paperSize="9" scale="5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7"/>
  <sheetViews>
    <sheetView workbookViewId="0">
      <selection activeCell="D26" sqref="A1:L117"/>
    </sheetView>
  </sheetViews>
  <sheetFormatPr defaultColWidth="10" defaultRowHeight="12.75"/>
  <cols>
    <col min="1" max="1" width="9.28515625" customWidth="1"/>
    <col min="2" max="2" width="5.7109375" customWidth="1"/>
    <col min="3" max="3" width="13.7109375" customWidth="1"/>
    <col min="4" max="4" width="43.5703125" customWidth="1"/>
    <col min="5" max="5" width="11.85546875" customWidth="1"/>
    <col min="6" max="6" width="19.7109375" customWidth="1"/>
    <col min="7" max="7" width="8.42578125" customWidth="1"/>
    <col min="8" max="8" width="8.7109375" customWidth="1"/>
    <col min="9" max="9" width="9.140625" customWidth="1"/>
    <col min="10" max="10" width="10.140625" customWidth="1"/>
  </cols>
  <sheetData>
    <row r="1" spans="1:12">
      <c r="A1" s="63" t="s">
        <v>0</v>
      </c>
      <c r="B1" s="63" t="s">
        <v>3379</v>
      </c>
      <c r="C1" s="63" t="s">
        <v>3380</v>
      </c>
      <c r="D1" s="63" t="s">
        <v>2</v>
      </c>
      <c r="E1" s="63" t="s">
        <v>3381</v>
      </c>
      <c r="F1" s="63" t="s">
        <v>3382</v>
      </c>
      <c r="G1" s="63" t="s">
        <v>3383</v>
      </c>
      <c r="H1" s="63" t="s">
        <v>3384</v>
      </c>
      <c r="I1" s="63" t="s">
        <v>3385</v>
      </c>
      <c r="J1" s="63" t="s">
        <v>3386</v>
      </c>
    </row>
    <row r="2" spans="1:12">
      <c r="A2">
        <v>40660983</v>
      </c>
      <c r="B2" t="s">
        <v>3387</v>
      </c>
      <c r="D2" t="s">
        <v>2877</v>
      </c>
      <c r="E2">
        <v>45820</v>
      </c>
      <c r="F2" t="s">
        <v>14</v>
      </c>
      <c r="G2">
        <v>605.37</v>
      </c>
      <c r="H2" t="s">
        <v>3388</v>
      </c>
      <c r="I2">
        <v>1</v>
      </c>
      <c r="K2" s="16">
        <v>605.37</v>
      </c>
      <c r="L2" t="s">
        <v>3389</v>
      </c>
    </row>
    <row r="3" spans="1:12">
      <c r="A3">
        <v>40694924</v>
      </c>
      <c r="B3" t="s">
        <v>3387</v>
      </c>
      <c r="D3" t="s">
        <v>16</v>
      </c>
      <c r="E3">
        <v>45820</v>
      </c>
      <c r="F3" t="s">
        <v>14</v>
      </c>
      <c r="G3">
        <v>714.31</v>
      </c>
      <c r="H3" t="s">
        <v>3388</v>
      </c>
      <c r="I3">
        <v>4</v>
      </c>
      <c r="K3" s="16">
        <v>2857.24</v>
      </c>
      <c r="L3" t="s">
        <v>3389</v>
      </c>
    </row>
    <row r="4" spans="1:12">
      <c r="A4">
        <v>40694925</v>
      </c>
      <c r="B4" t="s">
        <v>3387</v>
      </c>
      <c r="D4" t="s">
        <v>843</v>
      </c>
      <c r="E4">
        <v>45820</v>
      </c>
      <c r="F4" t="s">
        <v>14</v>
      </c>
      <c r="G4">
        <v>396.84</v>
      </c>
      <c r="H4" t="s">
        <v>3388</v>
      </c>
      <c r="I4">
        <v>2</v>
      </c>
      <c r="K4" s="16">
        <v>793.68</v>
      </c>
      <c r="L4" t="s">
        <v>3389</v>
      </c>
    </row>
    <row r="5" spans="1:12">
      <c r="A5">
        <v>40694927</v>
      </c>
      <c r="B5" t="s">
        <v>3387</v>
      </c>
      <c r="D5" t="s">
        <v>829</v>
      </c>
      <c r="E5">
        <v>45553</v>
      </c>
      <c r="F5" t="s">
        <v>14</v>
      </c>
      <c r="G5">
        <v>69.45</v>
      </c>
      <c r="H5" t="s">
        <v>3388</v>
      </c>
      <c r="I5">
        <v>3</v>
      </c>
      <c r="K5" s="16">
        <v>208.35</v>
      </c>
      <c r="L5" t="s">
        <v>3389</v>
      </c>
    </row>
    <row r="6" spans="1:12">
      <c r="A6">
        <v>40694928</v>
      </c>
      <c r="B6" t="s">
        <v>3387</v>
      </c>
      <c r="D6" t="s">
        <v>864</v>
      </c>
      <c r="E6">
        <v>45553</v>
      </c>
      <c r="F6" t="s">
        <v>14</v>
      </c>
      <c r="G6">
        <v>14.1</v>
      </c>
      <c r="H6" t="s">
        <v>3388</v>
      </c>
      <c r="I6">
        <v>4</v>
      </c>
      <c r="K6" s="16">
        <v>56.4</v>
      </c>
      <c r="L6" t="s">
        <v>3389</v>
      </c>
    </row>
    <row r="7" spans="1:12">
      <c r="A7">
        <v>40694929</v>
      </c>
      <c r="B7" t="s">
        <v>3387</v>
      </c>
      <c r="D7" t="s">
        <v>840</v>
      </c>
      <c r="E7">
        <v>45553</v>
      </c>
      <c r="F7" t="s">
        <v>14</v>
      </c>
      <c r="G7">
        <v>142.38</v>
      </c>
      <c r="H7" t="s">
        <v>3388</v>
      </c>
      <c r="I7">
        <v>4</v>
      </c>
      <c r="K7" s="16">
        <v>569.52</v>
      </c>
      <c r="L7" t="s">
        <v>3389</v>
      </c>
    </row>
    <row r="8" spans="1:12">
      <c r="A8">
        <v>40694930</v>
      </c>
      <c r="B8" t="s">
        <v>3387</v>
      </c>
      <c r="D8" t="s">
        <v>826</v>
      </c>
      <c r="E8">
        <v>45553</v>
      </c>
      <c r="F8" t="s">
        <v>14</v>
      </c>
      <c r="G8">
        <v>26.11</v>
      </c>
      <c r="H8" t="s">
        <v>3388</v>
      </c>
      <c r="I8">
        <v>4</v>
      </c>
      <c r="K8" s="16">
        <v>104.44</v>
      </c>
      <c r="L8" t="s">
        <v>3389</v>
      </c>
    </row>
    <row r="9" spans="1:12">
      <c r="A9">
        <v>40694933</v>
      </c>
      <c r="B9" t="s">
        <v>3387</v>
      </c>
      <c r="D9" t="s">
        <v>861</v>
      </c>
      <c r="E9">
        <v>45820</v>
      </c>
      <c r="F9" t="s">
        <v>14</v>
      </c>
      <c r="G9">
        <v>72.42</v>
      </c>
      <c r="H9" t="s">
        <v>3388</v>
      </c>
      <c r="I9">
        <v>2</v>
      </c>
      <c r="K9" s="16">
        <v>144.84</v>
      </c>
      <c r="L9" t="s">
        <v>3389</v>
      </c>
    </row>
    <row r="10" spans="1:12">
      <c r="A10">
        <v>40694936</v>
      </c>
      <c r="B10" t="s">
        <v>3387</v>
      </c>
      <c r="D10" t="s">
        <v>19</v>
      </c>
      <c r="E10">
        <v>45820</v>
      </c>
      <c r="F10" t="s">
        <v>14</v>
      </c>
      <c r="G10">
        <v>2088.63</v>
      </c>
      <c r="H10" t="s">
        <v>3388</v>
      </c>
      <c r="I10">
        <v>6</v>
      </c>
      <c r="K10" s="16">
        <v>12531.78</v>
      </c>
      <c r="L10" t="s">
        <v>3389</v>
      </c>
    </row>
    <row r="11" spans="1:12">
      <c r="A11">
        <v>40694938</v>
      </c>
      <c r="B11" t="s">
        <v>3387</v>
      </c>
      <c r="D11" t="s">
        <v>22</v>
      </c>
      <c r="E11">
        <v>45820</v>
      </c>
      <c r="F11" t="s">
        <v>14</v>
      </c>
      <c r="G11">
        <v>1148.2</v>
      </c>
      <c r="H11" t="s">
        <v>3388</v>
      </c>
      <c r="I11">
        <v>7</v>
      </c>
      <c r="K11" s="16">
        <v>8037.4</v>
      </c>
      <c r="L11" t="s">
        <v>3389</v>
      </c>
    </row>
    <row r="12" spans="1:12">
      <c r="A12">
        <v>40694939</v>
      </c>
      <c r="B12" t="s">
        <v>3387</v>
      </c>
      <c r="D12" t="s">
        <v>23</v>
      </c>
      <c r="E12">
        <v>45820</v>
      </c>
      <c r="F12" t="s">
        <v>14</v>
      </c>
      <c r="G12">
        <v>1147.8900000000001</v>
      </c>
      <c r="H12" t="s">
        <v>3388</v>
      </c>
      <c r="I12">
        <v>7</v>
      </c>
      <c r="K12" s="16">
        <v>8035.23</v>
      </c>
      <c r="L12" t="s">
        <v>3389</v>
      </c>
    </row>
    <row r="13" spans="1:12">
      <c r="A13">
        <v>40694941</v>
      </c>
      <c r="B13" t="s">
        <v>3387</v>
      </c>
      <c r="D13" t="s">
        <v>720</v>
      </c>
      <c r="E13">
        <v>45553</v>
      </c>
      <c r="F13" t="s">
        <v>14</v>
      </c>
      <c r="G13">
        <v>1705.72</v>
      </c>
      <c r="H13" t="s">
        <v>3388</v>
      </c>
      <c r="I13">
        <v>2</v>
      </c>
      <c r="K13" s="16">
        <v>3411.44</v>
      </c>
      <c r="L13" t="s">
        <v>3389</v>
      </c>
    </row>
    <row r="14" spans="1:12">
      <c r="A14">
        <v>40694945</v>
      </c>
      <c r="B14" t="s">
        <v>3387</v>
      </c>
      <c r="D14" t="s">
        <v>25</v>
      </c>
      <c r="E14">
        <v>45820</v>
      </c>
      <c r="F14" t="s">
        <v>14</v>
      </c>
      <c r="G14">
        <v>641.55999999999995</v>
      </c>
      <c r="H14" t="s">
        <v>3388</v>
      </c>
      <c r="I14">
        <v>4</v>
      </c>
      <c r="K14" s="16">
        <v>2566.2399999999998</v>
      </c>
      <c r="L14" t="s">
        <v>3389</v>
      </c>
    </row>
    <row r="15" spans="1:12">
      <c r="A15">
        <v>40697689</v>
      </c>
      <c r="B15" t="s">
        <v>3387</v>
      </c>
      <c r="D15" t="s">
        <v>285</v>
      </c>
      <c r="E15">
        <v>45820</v>
      </c>
      <c r="F15" t="s">
        <v>14</v>
      </c>
      <c r="G15">
        <v>73.92</v>
      </c>
      <c r="H15" t="s">
        <v>3388</v>
      </c>
      <c r="I15">
        <v>50</v>
      </c>
      <c r="K15" s="16">
        <v>3696</v>
      </c>
      <c r="L15" t="s">
        <v>3389</v>
      </c>
    </row>
    <row r="16" spans="1:12">
      <c r="A16">
        <v>40725045</v>
      </c>
      <c r="B16" t="s">
        <v>3387</v>
      </c>
      <c r="D16" t="s">
        <v>3390</v>
      </c>
      <c r="E16">
        <v>45820</v>
      </c>
      <c r="F16" t="s">
        <v>14</v>
      </c>
      <c r="G16">
        <v>63.33</v>
      </c>
      <c r="H16" t="s">
        <v>3388</v>
      </c>
      <c r="I16">
        <v>4</v>
      </c>
      <c r="K16" s="16">
        <v>253.32</v>
      </c>
      <c r="L16" t="s">
        <v>3389</v>
      </c>
    </row>
    <row r="17" spans="1:12">
      <c r="A17">
        <v>40725064</v>
      </c>
      <c r="B17" t="s">
        <v>3387</v>
      </c>
      <c r="D17" t="s">
        <v>3391</v>
      </c>
      <c r="E17">
        <v>45820</v>
      </c>
      <c r="F17" t="s">
        <v>14</v>
      </c>
      <c r="G17">
        <v>238.98</v>
      </c>
      <c r="H17" t="s">
        <v>3388</v>
      </c>
      <c r="I17">
        <v>2</v>
      </c>
      <c r="K17" s="16">
        <v>477.96</v>
      </c>
      <c r="L17" t="s">
        <v>3389</v>
      </c>
    </row>
    <row r="18" spans="1:12">
      <c r="A18">
        <v>40725065</v>
      </c>
      <c r="B18" t="s">
        <v>3387</v>
      </c>
      <c r="D18" t="s">
        <v>3392</v>
      </c>
      <c r="E18">
        <v>45820</v>
      </c>
      <c r="F18" t="s">
        <v>14</v>
      </c>
      <c r="G18">
        <v>159.54</v>
      </c>
      <c r="H18" t="s">
        <v>3388</v>
      </c>
      <c r="I18">
        <v>2</v>
      </c>
      <c r="K18" s="16">
        <v>319.08</v>
      </c>
      <c r="L18" t="s">
        <v>3389</v>
      </c>
    </row>
    <row r="19" spans="1:12">
      <c r="A19">
        <v>40725082</v>
      </c>
      <c r="B19" t="s">
        <v>3387</v>
      </c>
      <c r="D19" t="s">
        <v>3393</v>
      </c>
      <c r="E19">
        <v>45820</v>
      </c>
      <c r="F19" t="s">
        <v>14</v>
      </c>
      <c r="G19">
        <v>343.27</v>
      </c>
      <c r="H19" t="s">
        <v>3388</v>
      </c>
      <c r="I19">
        <v>1</v>
      </c>
      <c r="K19" s="16">
        <v>343.27</v>
      </c>
      <c r="L19" t="s">
        <v>3389</v>
      </c>
    </row>
    <row r="20" spans="1:12">
      <c r="A20">
        <v>40725083</v>
      </c>
      <c r="B20" t="s">
        <v>3387</v>
      </c>
      <c r="D20" t="s">
        <v>3394</v>
      </c>
      <c r="E20">
        <v>45820</v>
      </c>
      <c r="F20" t="s">
        <v>14</v>
      </c>
      <c r="G20">
        <v>1067.3499999999999</v>
      </c>
      <c r="H20" t="s">
        <v>3388</v>
      </c>
      <c r="I20">
        <v>1</v>
      </c>
      <c r="K20" s="16">
        <v>1067.3499999999999</v>
      </c>
      <c r="L20" t="s">
        <v>3389</v>
      </c>
    </row>
    <row r="21" spans="1:12">
      <c r="A21">
        <v>40725084</v>
      </c>
      <c r="B21" t="s">
        <v>3387</v>
      </c>
      <c r="D21" t="s">
        <v>3395</v>
      </c>
      <c r="E21">
        <v>45820</v>
      </c>
      <c r="F21" t="s">
        <v>14</v>
      </c>
      <c r="G21">
        <v>207.89</v>
      </c>
      <c r="H21" t="s">
        <v>3388</v>
      </c>
      <c r="I21">
        <v>1</v>
      </c>
      <c r="K21" s="16">
        <v>207.89</v>
      </c>
      <c r="L21" t="s">
        <v>3389</v>
      </c>
    </row>
    <row r="22" spans="1:12">
      <c r="A22">
        <v>40725085</v>
      </c>
      <c r="B22" t="s">
        <v>3387</v>
      </c>
      <c r="D22" t="s">
        <v>3396</v>
      </c>
      <c r="E22">
        <v>45820</v>
      </c>
      <c r="F22" t="s">
        <v>14</v>
      </c>
      <c r="G22">
        <v>322.73</v>
      </c>
      <c r="H22" t="s">
        <v>3388</v>
      </c>
      <c r="I22">
        <v>1</v>
      </c>
      <c r="K22" s="16">
        <v>322.73</v>
      </c>
      <c r="L22" t="s">
        <v>3389</v>
      </c>
    </row>
    <row r="23" spans="1:12">
      <c r="A23">
        <v>40725092</v>
      </c>
      <c r="B23" t="s">
        <v>3387</v>
      </c>
      <c r="D23" t="s">
        <v>3397</v>
      </c>
      <c r="E23">
        <v>45820</v>
      </c>
      <c r="F23" t="s">
        <v>14</v>
      </c>
      <c r="G23">
        <v>1184.25</v>
      </c>
      <c r="H23" t="s">
        <v>3388</v>
      </c>
      <c r="I23">
        <v>1</v>
      </c>
      <c r="K23" s="16">
        <v>1184.25</v>
      </c>
      <c r="L23" t="s">
        <v>3389</v>
      </c>
    </row>
    <row r="24" spans="1:12">
      <c r="A24">
        <v>40725152</v>
      </c>
      <c r="B24" t="s">
        <v>3387</v>
      </c>
      <c r="D24" t="s">
        <v>3398</v>
      </c>
      <c r="E24">
        <v>45820</v>
      </c>
      <c r="F24" t="s">
        <v>14</v>
      </c>
      <c r="G24">
        <v>142.84</v>
      </c>
      <c r="H24" t="s">
        <v>3388</v>
      </c>
      <c r="I24">
        <v>2</v>
      </c>
      <c r="K24" s="16">
        <v>285.68</v>
      </c>
      <c r="L24" t="s">
        <v>3389</v>
      </c>
    </row>
    <row r="25" spans="1:12">
      <c r="A25">
        <v>40725153</v>
      </c>
      <c r="B25" t="s">
        <v>3387</v>
      </c>
      <c r="D25" t="s">
        <v>3399</v>
      </c>
      <c r="E25">
        <v>45820</v>
      </c>
      <c r="F25" t="s">
        <v>14</v>
      </c>
      <c r="G25">
        <v>324.72000000000003</v>
      </c>
      <c r="H25" t="s">
        <v>3388</v>
      </c>
      <c r="I25">
        <v>2</v>
      </c>
      <c r="K25" s="16">
        <v>649.44000000000005</v>
      </c>
      <c r="L25" t="s">
        <v>3389</v>
      </c>
    </row>
    <row r="26" spans="1:12">
      <c r="A26">
        <v>40753500</v>
      </c>
      <c r="B26" t="s">
        <v>3387</v>
      </c>
      <c r="D26" t="s">
        <v>3400</v>
      </c>
      <c r="E26">
        <v>45820</v>
      </c>
      <c r="F26" t="s">
        <v>14</v>
      </c>
      <c r="G26">
        <v>2811.82</v>
      </c>
      <c r="H26" t="s">
        <v>3388</v>
      </c>
      <c r="I26">
        <v>2</v>
      </c>
      <c r="K26" s="16">
        <v>5623.64</v>
      </c>
      <c r="L26" t="s">
        <v>3389</v>
      </c>
    </row>
    <row r="27" spans="1:12">
      <c r="A27">
        <v>40753505</v>
      </c>
      <c r="B27" t="s">
        <v>3387</v>
      </c>
      <c r="D27" t="s">
        <v>3401</v>
      </c>
      <c r="E27">
        <v>45820</v>
      </c>
      <c r="F27" t="s">
        <v>14</v>
      </c>
      <c r="G27">
        <v>2505.9699999999998</v>
      </c>
      <c r="H27" t="s">
        <v>3388</v>
      </c>
      <c r="I27">
        <v>1</v>
      </c>
      <c r="K27" s="16">
        <v>2505.9699999999998</v>
      </c>
      <c r="L27" t="s">
        <v>3389</v>
      </c>
    </row>
    <row r="28" spans="1:12">
      <c r="A28">
        <v>40753506</v>
      </c>
      <c r="B28" t="s">
        <v>3387</v>
      </c>
      <c r="D28" t="s">
        <v>3402</v>
      </c>
      <c r="E28">
        <v>45820</v>
      </c>
      <c r="F28" t="s">
        <v>14</v>
      </c>
      <c r="G28">
        <v>2749.06</v>
      </c>
      <c r="H28" t="s">
        <v>3388</v>
      </c>
      <c r="I28">
        <v>1</v>
      </c>
      <c r="K28" s="16">
        <v>2749.06</v>
      </c>
      <c r="L28" t="s">
        <v>3389</v>
      </c>
    </row>
    <row r="29" spans="1:12">
      <c r="A29">
        <v>40753507</v>
      </c>
      <c r="B29" t="s">
        <v>3387</v>
      </c>
      <c r="D29" t="s">
        <v>3403</v>
      </c>
      <c r="E29">
        <v>45820</v>
      </c>
      <c r="F29" t="s">
        <v>14</v>
      </c>
      <c r="G29">
        <v>2560.79</v>
      </c>
      <c r="H29" t="s">
        <v>3388</v>
      </c>
      <c r="I29">
        <v>1</v>
      </c>
      <c r="K29" s="16">
        <v>2560.79</v>
      </c>
      <c r="L29" t="s">
        <v>3389</v>
      </c>
    </row>
    <row r="30" spans="1:12">
      <c r="A30">
        <v>40753508</v>
      </c>
      <c r="B30" t="s">
        <v>3387</v>
      </c>
      <c r="D30" t="s">
        <v>3404</v>
      </c>
      <c r="E30">
        <v>45820</v>
      </c>
      <c r="F30" t="s">
        <v>14</v>
      </c>
      <c r="G30">
        <v>1369.27</v>
      </c>
      <c r="H30" t="s">
        <v>3388</v>
      </c>
      <c r="I30">
        <v>1</v>
      </c>
      <c r="K30" s="16">
        <v>1369.27</v>
      </c>
      <c r="L30" t="s">
        <v>3389</v>
      </c>
    </row>
    <row r="31" spans="1:12">
      <c r="A31">
        <v>40753509</v>
      </c>
      <c r="B31" t="s">
        <v>3387</v>
      </c>
      <c r="D31" t="s">
        <v>3405</v>
      </c>
      <c r="E31">
        <v>45820</v>
      </c>
      <c r="F31" t="s">
        <v>14</v>
      </c>
      <c r="G31">
        <v>796.01</v>
      </c>
      <c r="H31" t="s">
        <v>3388</v>
      </c>
      <c r="I31">
        <v>1</v>
      </c>
      <c r="K31" s="16">
        <v>796.01</v>
      </c>
      <c r="L31" t="s">
        <v>3389</v>
      </c>
    </row>
    <row r="32" spans="1:12">
      <c r="A32">
        <v>40753512</v>
      </c>
      <c r="B32" t="s">
        <v>3387</v>
      </c>
      <c r="D32" t="s">
        <v>3406</v>
      </c>
      <c r="E32">
        <v>45820</v>
      </c>
      <c r="F32" t="s">
        <v>14</v>
      </c>
      <c r="G32">
        <v>1236.52</v>
      </c>
      <c r="H32" t="s">
        <v>3388</v>
      </c>
      <c r="I32">
        <v>1</v>
      </c>
      <c r="K32" s="16">
        <v>1236.52</v>
      </c>
      <c r="L32" t="s">
        <v>3389</v>
      </c>
    </row>
    <row r="33" spans="1:12">
      <c r="A33">
        <v>40753515</v>
      </c>
      <c r="B33" t="s">
        <v>3387</v>
      </c>
      <c r="D33" t="s">
        <v>3407</v>
      </c>
      <c r="E33">
        <v>45820</v>
      </c>
      <c r="F33" t="s">
        <v>14</v>
      </c>
      <c r="G33">
        <v>958.08</v>
      </c>
      <c r="H33" t="s">
        <v>3388</v>
      </c>
      <c r="I33">
        <v>1</v>
      </c>
      <c r="K33" s="16">
        <v>958.08</v>
      </c>
      <c r="L33" t="s">
        <v>3389</v>
      </c>
    </row>
    <row r="34" spans="1:12">
      <c r="A34">
        <v>40753516</v>
      </c>
      <c r="B34" t="s">
        <v>3387</v>
      </c>
      <c r="D34" t="s">
        <v>3408</v>
      </c>
      <c r="E34">
        <v>45820</v>
      </c>
      <c r="F34" t="s">
        <v>14</v>
      </c>
      <c r="G34">
        <v>1429.79</v>
      </c>
      <c r="H34" t="s">
        <v>3388</v>
      </c>
      <c r="I34">
        <v>1</v>
      </c>
      <c r="K34" s="16">
        <v>1429.79</v>
      </c>
      <c r="L34" t="s">
        <v>3389</v>
      </c>
    </row>
    <row r="35" spans="1:12">
      <c r="A35">
        <v>40753517</v>
      </c>
      <c r="B35" t="s">
        <v>3387</v>
      </c>
      <c r="D35" t="s">
        <v>3409</v>
      </c>
      <c r="E35">
        <v>45820</v>
      </c>
      <c r="F35" t="s">
        <v>14</v>
      </c>
      <c r="G35">
        <v>141.38</v>
      </c>
      <c r="H35" t="s">
        <v>3388</v>
      </c>
      <c r="I35">
        <v>2</v>
      </c>
      <c r="K35" s="16">
        <v>282.76</v>
      </c>
      <c r="L35" t="s">
        <v>3389</v>
      </c>
    </row>
    <row r="36" spans="1:12">
      <c r="A36">
        <v>40760837</v>
      </c>
      <c r="B36" t="s">
        <v>3387</v>
      </c>
      <c r="D36" t="s">
        <v>3410</v>
      </c>
      <c r="E36">
        <v>45820</v>
      </c>
      <c r="F36" t="s">
        <v>14</v>
      </c>
      <c r="G36">
        <v>385.94</v>
      </c>
      <c r="H36" t="s">
        <v>3388</v>
      </c>
      <c r="I36">
        <v>2</v>
      </c>
      <c r="K36" s="16">
        <v>771.88</v>
      </c>
      <c r="L36" t="s">
        <v>3389</v>
      </c>
    </row>
    <row r="37" spans="1:12">
      <c r="A37">
        <v>40693977</v>
      </c>
      <c r="B37" t="s">
        <v>3387</v>
      </c>
      <c r="D37" t="s">
        <v>27</v>
      </c>
      <c r="E37">
        <v>45553</v>
      </c>
      <c r="F37" t="s">
        <v>14</v>
      </c>
      <c r="G37">
        <v>1194.21</v>
      </c>
      <c r="H37" t="s">
        <v>3388</v>
      </c>
      <c r="I37">
        <v>6</v>
      </c>
      <c r="K37">
        <v>7165.26</v>
      </c>
      <c r="L37" t="s">
        <v>3411</v>
      </c>
    </row>
    <row r="38" spans="1:12">
      <c r="A38">
        <v>40693998</v>
      </c>
      <c r="B38" t="s">
        <v>3387</v>
      </c>
      <c r="D38" t="s">
        <v>363</v>
      </c>
      <c r="E38">
        <v>45553</v>
      </c>
      <c r="F38" t="s">
        <v>14</v>
      </c>
      <c r="G38">
        <v>176.13</v>
      </c>
      <c r="H38" t="s">
        <v>3388</v>
      </c>
      <c r="I38">
        <v>8</v>
      </c>
      <c r="K38">
        <v>1409.04</v>
      </c>
      <c r="L38" t="s">
        <v>3411</v>
      </c>
    </row>
    <row r="39" spans="1:12">
      <c r="A39">
        <v>40694922</v>
      </c>
      <c r="B39" t="s">
        <v>3387</v>
      </c>
      <c r="D39" t="s">
        <v>804</v>
      </c>
      <c r="E39">
        <v>45820</v>
      </c>
      <c r="F39" t="s">
        <v>14</v>
      </c>
      <c r="G39">
        <v>692.73</v>
      </c>
      <c r="H39" t="s">
        <v>3388</v>
      </c>
      <c r="I39">
        <v>4</v>
      </c>
      <c r="K39">
        <v>2770.92</v>
      </c>
      <c r="L39" t="s">
        <v>3411</v>
      </c>
    </row>
    <row r="40" spans="1:12">
      <c r="A40">
        <v>40697691</v>
      </c>
      <c r="B40" t="s">
        <v>3387</v>
      </c>
      <c r="D40" t="s">
        <v>3412</v>
      </c>
      <c r="E40">
        <v>45553</v>
      </c>
      <c r="F40" t="s">
        <v>14</v>
      </c>
      <c r="G40">
        <v>39.01</v>
      </c>
      <c r="H40" t="s">
        <v>3388</v>
      </c>
      <c r="I40">
        <v>1000</v>
      </c>
      <c r="K40" s="16">
        <v>39010</v>
      </c>
      <c r="L40" t="s">
        <v>3413</v>
      </c>
    </row>
    <row r="41" spans="1:12">
      <c r="A41">
        <v>40704243</v>
      </c>
      <c r="B41" t="s">
        <v>3387</v>
      </c>
      <c r="D41" t="s">
        <v>282</v>
      </c>
      <c r="E41">
        <v>45553</v>
      </c>
      <c r="F41" t="s">
        <v>14</v>
      </c>
      <c r="G41">
        <v>1012.94</v>
      </c>
      <c r="H41" t="s">
        <v>3388</v>
      </c>
      <c r="I41">
        <v>2</v>
      </c>
      <c r="K41" s="16">
        <v>2025.88</v>
      </c>
      <c r="L41" t="s">
        <v>3413</v>
      </c>
    </row>
    <row r="42" spans="1:12" ht="16.5">
      <c r="A42">
        <v>40691004</v>
      </c>
      <c r="B42" t="s">
        <v>3387</v>
      </c>
      <c r="D42" t="s">
        <v>696</v>
      </c>
      <c r="E42" s="64">
        <v>45770</v>
      </c>
      <c r="F42" t="s">
        <v>14</v>
      </c>
      <c r="G42" s="65">
        <v>639.6</v>
      </c>
      <c r="H42" t="s">
        <v>3388</v>
      </c>
      <c r="I42" s="66">
        <v>16</v>
      </c>
      <c r="J42" t="s">
        <v>3414</v>
      </c>
      <c r="K42">
        <v>10233.6</v>
      </c>
      <c r="L42" s="67" t="s">
        <v>3415</v>
      </c>
    </row>
    <row r="43" spans="1:12" ht="16.5">
      <c r="A43">
        <v>40691006</v>
      </c>
      <c r="B43" t="s">
        <v>3387</v>
      </c>
      <c r="D43" t="s">
        <v>699</v>
      </c>
      <c r="E43" s="64">
        <v>45820</v>
      </c>
      <c r="F43" t="s">
        <v>14</v>
      </c>
      <c r="G43" s="65">
        <v>1019.27</v>
      </c>
      <c r="H43" t="s">
        <v>3388</v>
      </c>
      <c r="I43" s="66">
        <v>6</v>
      </c>
      <c r="J43" t="s">
        <v>3414</v>
      </c>
      <c r="K43">
        <v>6115.62</v>
      </c>
      <c r="L43" s="67" t="s">
        <v>3415</v>
      </c>
    </row>
    <row r="44" spans="1:12" ht="16.5">
      <c r="A44">
        <v>40691007</v>
      </c>
      <c r="B44" t="s">
        <v>3387</v>
      </c>
      <c r="D44" t="s">
        <v>667</v>
      </c>
      <c r="E44" s="64">
        <v>45820</v>
      </c>
      <c r="F44" t="s">
        <v>14</v>
      </c>
      <c r="G44" s="65">
        <v>545.33000000000004</v>
      </c>
      <c r="H44" t="s">
        <v>3388</v>
      </c>
      <c r="I44" s="66">
        <v>7</v>
      </c>
      <c r="J44" t="s">
        <v>3414</v>
      </c>
      <c r="K44">
        <v>3817.31</v>
      </c>
      <c r="L44" s="67" t="s">
        <v>3415</v>
      </c>
    </row>
    <row r="45" spans="1:12" ht="16.5">
      <c r="A45">
        <v>40691014</v>
      </c>
      <c r="B45" t="s">
        <v>3387</v>
      </c>
      <c r="D45" t="s">
        <v>672</v>
      </c>
      <c r="E45" s="64">
        <v>45820</v>
      </c>
      <c r="F45" t="s">
        <v>14</v>
      </c>
      <c r="G45" s="65">
        <v>5303.46</v>
      </c>
      <c r="H45" t="s">
        <v>3388</v>
      </c>
      <c r="I45" s="66">
        <v>4</v>
      </c>
      <c r="J45" t="s">
        <v>3414</v>
      </c>
      <c r="K45">
        <v>21213.84</v>
      </c>
      <c r="L45" s="67" t="s">
        <v>3415</v>
      </c>
    </row>
    <row r="46" spans="1:12" ht="16.5">
      <c r="A46">
        <v>40691018</v>
      </c>
      <c r="B46" t="s">
        <v>3387</v>
      </c>
      <c r="D46" t="s">
        <v>30</v>
      </c>
      <c r="E46" s="64">
        <v>45589</v>
      </c>
      <c r="F46" t="s">
        <v>14</v>
      </c>
      <c r="G46" s="65">
        <v>3773.34</v>
      </c>
      <c r="H46" t="s">
        <v>3388</v>
      </c>
      <c r="I46" s="66">
        <v>16</v>
      </c>
      <c r="J46" t="s">
        <v>3414</v>
      </c>
      <c r="K46">
        <v>60373.440000000002</v>
      </c>
      <c r="L46" s="67" t="s">
        <v>3415</v>
      </c>
    </row>
    <row r="47" spans="1:12" ht="16.5">
      <c r="A47">
        <v>40691023</v>
      </c>
      <c r="B47" t="s">
        <v>3387</v>
      </c>
      <c r="D47" t="s">
        <v>693</v>
      </c>
      <c r="E47" s="64">
        <v>45820</v>
      </c>
      <c r="F47" t="s">
        <v>14</v>
      </c>
      <c r="G47" s="65">
        <v>2265.8200000000002</v>
      </c>
      <c r="H47" t="s">
        <v>3388</v>
      </c>
      <c r="I47" s="66">
        <v>4</v>
      </c>
      <c r="J47" t="s">
        <v>3414</v>
      </c>
      <c r="K47">
        <v>9063.2800000000007</v>
      </c>
      <c r="L47" s="67" t="s">
        <v>3415</v>
      </c>
    </row>
    <row r="48" spans="1:12" ht="16.5">
      <c r="A48">
        <v>40691024</v>
      </c>
      <c r="B48" t="s">
        <v>3387</v>
      </c>
      <c r="D48" t="s">
        <v>846</v>
      </c>
      <c r="E48" s="64">
        <v>45589</v>
      </c>
      <c r="F48" t="s">
        <v>14</v>
      </c>
      <c r="G48" s="65">
        <v>2032.01</v>
      </c>
      <c r="H48" t="s">
        <v>3388</v>
      </c>
      <c r="I48" s="66">
        <v>4</v>
      </c>
      <c r="J48" t="s">
        <v>3414</v>
      </c>
      <c r="K48">
        <v>8128.04</v>
      </c>
      <c r="L48" s="67" t="s">
        <v>3415</v>
      </c>
    </row>
    <row r="49" spans="1:12" ht="16.5">
      <c r="A49">
        <v>40691025</v>
      </c>
      <c r="B49" t="s">
        <v>3387</v>
      </c>
      <c r="D49" t="s">
        <v>32</v>
      </c>
      <c r="E49" s="64">
        <v>45589</v>
      </c>
      <c r="F49" t="s">
        <v>14</v>
      </c>
      <c r="G49" s="65">
        <v>1589.07</v>
      </c>
      <c r="H49" t="s">
        <v>3388</v>
      </c>
      <c r="I49" s="66">
        <v>4</v>
      </c>
      <c r="J49" t="s">
        <v>3414</v>
      </c>
      <c r="K49">
        <v>6356.28</v>
      </c>
      <c r="L49" s="67" t="s">
        <v>3415</v>
      </c>
    </row>
    <row r="50" spans="1:12" ht="16.5">
      <c r="A50">
        <v>40691030</v>
      </c>
      <c r="B50" t="s">
        <v>3387</v>
      </c>
      <c r="D50" t="s">
        <v>723</v>
      </c>
      <c r="E50" s="64">
        <v>45589</v>
      </c>
      <c r="F50" t="s">
        <v>14</v>
      </c>
      <c r="G50" s="65">
        <v>2196.96</v>
      </c>
      <c r="H50" t="s">
        <v>3388</v>
      </c>
      <c r="I50" s="66">
        <v>4</v>
      </c>
      <c r="J50" t="s">
        <v>3414</v>
      </c>
      <c r="K50">
        <v>8787.84</v>
      </c>
      <c r="L50" s="67" t="s">
        <v>3415</v>
      </c>
    </row>
    <row r="51" spans="1:12" ht="16.5">
      <c r="A51">
        <v>40691035</v>
      </c>
      <c r="B51" t="s">
        <v>3387</v>
      </c>
      <c r="D51" t="s">
        <v>685</v>
      </c>
      <c r="E51" s="64">
        <v>45589</v>
      </c>
      <c r="F51" t="s">
        <v>14</v>
      </c>
      <c r="G51" s="65">
        <v>349.07</v>
      </c>
      <c r="H51" t="s">
        <v>3388</v>
      </c>
      <c r="I51" s="66">
        <v>8</v>
      </c>
      <c r="J51" t="s">
        <v>3414</v>
      </c>
      <c r="K51">
        <v>2792.56</v>
      </c>
      <c r="L51" s="67" t="s">
        <v>3415</v>
      </c>
    </row>
    <row r="52" spans="1:12" ht="16.5">
      <c r="A52">
        <v>40691036</v>
      </c>
      <c r="B52" t="s">
        <v>3387</v>
      </c>
      <c r="D52" t="s">
        <v>913</v>
      </c>
      <c r="E52" s="64">
        <v>45820</v>
      </c>
      <c r="F52" t="s">
        <v>14</v>
      </c>
      <c r="G52" s="65">
        <v>1003.66</v>
      </c>
      <c r="H52" t="s">
        <v>3388</v>
      </c>
      <c r="I52" s="66">
        <v>9</v>
      </c>
      <c r="J52" t="s">
        <v>3414</v>
      </c>
      <c r="K52">
        <v>9032.94</v>
      </c>
      <c r="L52" s="67" t="s">
        <v>3415</v>
      </c>
    </row>
    <row r="53" spans="1:12" ht="16.5">
      <c r="A53">
        <v>40691056</v>
      </c>
      <c r="B53" t="s">
        <v>3387</v>
      </c>
      <c r="D53" t="s">
        <v>672</v>
      </c>
      <c r="E53" s="64">
        <v>45820</v>
      </c>
      <c r="F53" t="s">
        <v>14</v>
      </c>
      <c r="G53" s="65">
        <v>8856.85</v>
      </c>
      <c r="H53" t="s">
        <v>3388</v>
      </c>
      <c r="I53" s="66">
        <v>2</v>
      </c>
      <c r="J53" t="s">
        <v>3414</v>
      </c>
      <c r="K53">
        <v>17713.7</v>
      </c>
      <c r="L53" s="67" t="s">
        <v>3415</v>
      </c>
    </row>
    <row r="54" spans="1:12" ht="16.5">
      <c r="A54">
        <v>40697076</v>
      </c>
      <c r="B54" t="s">
        <v>3387</v>
      </c>
      <c r="D54" t="s">
        <v>788</v>
      </c>
      <c r="E54">
        <v>45820</v>
      </c>
      <c r="F54" t="s">
        <v>14</v>
      </c>
      <c r="G54">
        <v>20.88</v>
      </c>
      <c r="H54" t="s">
        <v>3388</v>
      </c>
      <c r="I54">
        <v>64</v>
      </c>
      <c r="J54" t="s">
        <v>3416</v>
      </c>
      <c r="K54">
        <v>1336.32</v>
      </c>
      <c r="L54" s="67" t="s">
        <v>3415</v>
      </c>
    </row>
    <row r="55" spans="1:12" ht="16.5">
      <c r="A55">
        <v>40697077</v>
      </c>
      <c r="B55" t="s">
        <v>3387</v>
      </c>
      <c r="D55" t="s">
        <v>785</v>
      </c>
      <c r="E55">
        <v>45820</v>
      </c>
      <c r="F55" t="s">
        <v>14</v>
      </c>
      <c r="G55">
        <v>20.82</v>
      </c>
      <c r="H55" t="s">
        <v>3388</v>
      </c>
      <c r="I55">
        <v>64</v>
      </c>
      <c r="J55" t="s">
        <v>3416</v>
      </c>
      <c r="K55">
        <v>1332.48</v>
      </c>
      <c r="L55" s="67" t="s">
        <v>3415</v>
      </c>
    </row>
    <row r="56" spans="1:12" ht="16.5">
      <c r="A56">
        <v>40697078</v>
      </c>
      <c r="B56" t="s">
        <v>3387</v>
      </c>
      <c r="D56" t="s">
        <v>920</v>
      </c>
      <c r="E56">
        <v>45553</v>
      </c>
      <c r="F56" t="s">
        <v>14</v>
      </c>
      <c r="G56">
        <v>352.64</v>
      </c>
      <c r="H56" t="s">
        <v>3388</v>
      </c>
      <c r="I56">
        <v>1</v>
      </c>
      <c r="J56" t="s">
        <v>3416</v>
      </c>
      <c r="K56">
        <v>352.64</v>
      </c>
      <c r="L56" s="67" t="s">
        <v>3415</v>
      </c>
    </row>
    <row r="57" spans="1:12" ht="16.5">
      <c r="A57">
        <v>40697079</v>
      </c>
      <c r="B57" t="s">
        <v>3387</v>
      </c>
      <c r="D57" t="s">
        <v>889</v>
      </c>
      <c r="E57">
        <v>45553</v>
      </c>
      <c r="F57" t="s">
        <v>14</v>
      </c>
      <c r="G57">
        <v>366.61</v>
      </c>
      <c r="H57" t="s">
        <v>3388</v>
      </c>
      <c r="I57">
        <v>1</v>
      </c>
      <c r="J57" t="s">
        <v>3416</v>
      </c>
      <c r="K57">
        <v>366.61</v>
      </c>
      <c r="L57" s="67" t="s">
        <v>3415</v>
      </c>
    </row>
    <row r="58" spans="1:12" ht="16.5">
      <c r="A58">
        <v>40697081</v>
      </c>
      <c r="B58" t="s">
        <v>3387</v>
      </c>
      <c r="D58" t="s">
        <v>867</v>
      </c>
      <c r="E58">
        <v>45553</v>
      </c>
      <c r="F58" t="s">
        <v>14</v>
      </c>
      <c r="G58">
        <v>488.29</v>
      </c>
      <c r="H58" t="s">
        <v>3388</v>
      </c>
      <c r="I58">
        <v>1</v>
      </c>
      <c r="J58" t="s">
        <v>3416</v>
      </c>
      <c r="K58">
        <v>488.29</v>
      </c>
      <c r="L58" s="67" t="s">
        <v>3415</v>
      </c>
    </row>
    <row r="59" spans="1:12" ht="16.5">
      <c r="A59">
        <v>40697083</v>
      </c>
      <c r="B59" t="s">
        <v>3387</v>
      </c>
      <c r="D59" t="s">
        <v>880</v>
      </c>
      <c r="E59">
        <v>45553</v>
      </c>
      <c r="F59" t="s">
        <v>14</v>
      </c>
      <c r="G59">
        <v>71.03</v>
      </c>
      <c r="H59" t="s">
        <v>3388</v>
      </c>
      <c r="I59">
        <v>1</v>
      </c>
      <c r="J59" t="s">
        <v>3416</v>
      </c>
      <c r="K59">
        <v>71.03</v>
      </c>
      <c r="L59" s="67" t="s">
        <v>3415</v>
      </c>
    </row>
    <row r="60" spans="1:12" ht="16.5">
      <c r="A60">
        <v>40697084</v>
      </c>
      <c r="B60" t="s">
        <v>3387</v>
      </c>
      <c r="D60" t="s">
        <v>884</v>
      </c>
      <c r="E60">
        <v>45553</v>
      </c>
      <c r="F60" t="s">
        <v>14</v>
      </c>
      <c r="G60">
        <v>55.67</v>
      </c>
      <c r="H60" t="s">
        <v>3388</v>
      </c>
      <c r="I60">
        <v>1</v>
      </c>
      <c r="J60" t="s">
        <v>3416</v>
      </c>
      <c r="K60">
        <v>55.67</v>
      </c>
      <c r="L60" s="67" t="s">
        <v>3415</v>
      </c>
    </row>
    <row r="61" spans="1:12" ht="16.5">
      <c r="A61">
        <v>40697086</v>
      </c>
      <c r="B61" t="s">
        <v>3387</v>
      </c>
      <c r="D61" t="s">
        <v>874</v>
      </c>
      <c r="E61">
        <v>45553</v>
      </c>
      <c r="F61" t="s">
        <v>14</v>
      </c>
      <c r="G61">
        <v>13.86</v>
      </c>
      <c r="H61" t="s">
        <v>3388</v>
      </c>
      <c r="I61">
        <v>24</v>
      </c>
      <c r="J61" t="s">
        <v>3416</v>
      </c>
      <c r="K61">
        <v>332.64</v>
      </c>
      <c r="L61" s="67" t="s">
        <v>3415</v>
      </c>
    </row>
    <row r="62" spans="1:12" ht="16.5">
      <c r="A62">
        <v>40697087</v>
      </c>
      <c r="B62" t="s">
        <v>3387</v>
      </c>
      <c r="D62" t="s">
        <v>923</v>
      </c>
      <c r="E62">
        <v>45553</v>
      </c>
      <c r="F62" t="s">
        <v>14</v>
      </c>
      <c r="G62">
        <v>14.47</v>
      </c>
      <c r="H62" t="s">
        <v>3388</v>
      </c>
      <c r="I62">
        <v>39</v>
      </c>
      <c r="J62" t="s">
        <v>3416</v>
      </c>
      <c r="K62">
        <v>564.33000000000004</v>
      </c>
      <c r="L62" s="67" t="s">
        <v>3415</v>
      </c>
    </row>
    <row r="63" spans="1:12" ht="16.5">
      <c r="A63">
        <v>40697089</v>
      </c>
      <c r="B63" t="s">
        <v>3387</v>
      </c>
      <c r="D63" t="s">
        <v>3417</v>
      </c>
      <c r="E63">
        <v>45553</v>
      </c>
      <c r="F63" t="s">
        <v>14</v>
      </c>
      <c r="G63">
        <v>11.87</v>
      </c>
      <c r="H63" t="s">
        <v>3388</v>
      </c>
      <c r="I63">
        <v>21</v>
      </c>
      <c r="J63" t="s">
        <v>3416</v>
      </c>
      <c r="K63">
        <v>249.27</v>
      </c>
      <c r="L63" s="67" t="s">
        <v>3415</v>
      </c>
    </row>
    <row r="64" spans="1:12" ht="16.5">
      <c r="A64">
        <v>40697091</v>
      </c>
      <c r="B64" t="s">
        <v>3387</v>
      </c>
      <c r="D64" t="s">
        <v>857</v>
      </c>
      <c r="E64">
        <v>45553</v>
      </c>
      <c r="F64" t="s">
        <v>14</v>
      </c>
      <c r="G64">
        <v>10.44</v>
      </c>
      <c r="H64" t="s">
        <v>3388</v>
      </c>
      <c r="I64">
        <v>20</v>
      </c>
      <c r="J64" t="s">
        <v>3416</v>
      </c>
      <c r="K64">
        <v>208.8</v>
      </c>
      <c r="L64" s="67" t="s">
        <v>3415</v>
      </c>
    </row>
    <row r="65" spans="1:12" ht="16.5">
      <c r="A65">
        <v>40697097</v>
      </c>
      <c r="B65" t="s">
        <v>3387</v>
      </c>
      <c r="D65" t="s">
        <v>706</v>
      </c>
      <c r="E65">
        <v>45553</v>
      </c>
      <c r="F65" t="s">
        <v>14</v>
      </c>
      <c r="G65">
        <v>230.09</v>
      </c>
      <c r="H65" t="s">
        <v>3388</v>
      </c>
      <c r="I65">
        <v>18</v>
      </c>
      <c r="J65" t="s">
        <v>3416</v>
      </c>
      <c r="K65">
        <v>4141.62</v>
      </c>
      <c r="L65" s="67" t="s">
        <v>3415</v>
      </c>
    </row>
    <row r="66" spans="1:12" ht="16.5">
      <c r="A66">
        <v>40697098</v>
      </c>
      <c r="B66" t="s">
        <v>3387</v>
      </c>
      <c r="D66" t="s">
        <v>1008</v>
      </c>
      <c r="E66">
        <v>45553</v>
      </c>
      <c r="F66" t="s">
        <v>14</v>
      </c>
      <c r="G66">
        <v>6.92</v>
      </c>
      <c r="H66" t="s">
        <v>3388</v>
      </c>
      <c r="I66">
        <v>16</v>
      </c>
      <c r="J66" t="s">
        <v>3416</v>
      </c>
      <c r="K66">
        <v>110.72</v>
      </c>
      <c r="L66" s="67" t="s">
        <v>3415</v>
      </c>
    </row>
    <row r="67" spans="1:12" ht="16.5">
      <c r="A67">
        <v>40697102</v>
      </c>
      <c r="B67" t="s">
        <v>3387</v>
      </c>
      <c r="D67" t="s">
        <v>3418</v>
      </c>
      <c r="E67">
        <v>45553</v>
      </c>
      <c r="F67" t="s">
        <v>14</v>
      </c>
      <c r="G67">
        <v>642.95000000000005</v>
      </c>
      <c r="H67" t="s">
        <v>3388</v>
      </c>
      <c r="I67">
        <v>2</v>
      </c>
      <c r="J67" t="s">
        <v>3416</v>
      </c>
      <c r="K67">
        <v>1285.9000000000001</v>
      </c>
      <c r="L67" s="67" t="s">
        <v>3415</v>
      </c>
    </row>
    <row r="68" spans="1:12" ht="16.5">
      <c r="A68">
        <v>40697103</v>
      </c>
      <c r="B68" t="s">
        <v>3387</v>
      </c>
      <c r="D68" t="s">
        <v>1178</v>
      </c>
      <c r="E68">
        <v>45553</v>
      </c>
      <c r="F68" t="s">
        <v>14</v>
      </c>
      <c r="G68">
        <v>427.1</v>
      </c>
      <c r="H68" t="s">
        <v>3388</v>
      </c>
      <c r="I68">
        <v>5</v>
      </c>
      <c r="J68" t="s">
        <v>3416</v>
      </c>
      <c r="K68">
        <v>2135.5</v>
      </c>
      <c r="L68" s="67" t="s">
        <v>3415</v>
      </c>
    </row>
    <row r="69" spans="1:12" ht="16.5">
      <c r="A69">
        <v>40697104</v>
      </c>
      <c r="B69" t="s">
        <v>3387</v>
      </c>
      <c r="D69" t="s">
        <v>1035</v>
      </c>
      <c r="E69">
        <v>45553</v>
      </c>
      <c r="F69" t="s">
        <v>14</v>
      </c>
      <c r="G69">
        <v>532.69000000000005</v>
      </c>
      <c r="H69" t="s">
        <v>3388</v>
      </c>
      <c r="I69">
        <v>2</v>
      </c>
      <c r="J69" t="s">
        <v>3416</v>
      </c>
      <c r="K69">
        <v>1065.3800000000001</v>
      </c>
      <c r="L69" s="67" t="s">
        <v>3415</v>
      </c>
    </row>
    <row r="70" spans="1:12" ht="16.5">
      <c r="A70">
        <v>40697150</v>
      </c>
      <c r="B70" t="s">
        <v>3387</v>
      </c>
      <c r="D70" t="s">
        <v>1170</v>
      </c>
      <c r="E70">
        <v>45553</v>
      </c>
      <c r="F70" t="s">
        <v>14</v>
      </c>
      <c r="G70">
        <v>52.09</v>
      </c>
      <c r="H70" t="s">
        <v>3388</v>
      </c>
      <c r="I70">
        <v>3</v>
      </c>
      <c r="J70" t="s">
        <v>3416</v>
      </c>
      <c r="K70">
        <v>156.27000000000001</v>
      </c>
      <c r="L70" s="67" t="s">
        <v>3415</v>
      </c>
    </row>
    <row r="71" spans="1:12" ht="16.5">
      <c r="A71">
        <v>40697151</v>
      </c>
      <c r="B71" t="s">
        <v>3387</v>
      </c>
      <c r="D71" t="s">
        <v>1166</v>
      </c>
      <c r="E71">
        <v>45553</v>
      </c>
      <c r="F71" t="s">
        <v>14</v>
      </c>
      <c r="G71">
        <v>54.47</v>
      </c>
      <c r="H71" t="s">
        <v>3388</v>
      </c>
      <c r="I71">
        <v>2</v>
      </c>
      <c r="J71" t="s">
        <v>3416</v>
      </c>
      <c r="K71">
        <v>108.94</v>
      </c>
      <c r="L71" s="67" t="s">
        <v>3415</v>
      </c>
    </row>
    <row r="72" spans="1:12" ht="16.5">
      <c r="A72">
        <v>40697152</v>
      </c>
      <c r="B72" t="s">
        <v>3387</v>
      </c>
      <c r="D72" t="s">
        <v>1141</v>
      </c>
      <c r="E72">
        <v>45553</v>
      </c>
      <c r="F72" t="s">
        <v>14</v>
      </c>
      <c r="G72">
        <v>75.72</v>
      </c>
      <c r="H72" t="s">
        <v>3388</v>
      </c>
      <c r="I72">
        <v>4</v>
      </c>
      <c r="J72" t="s">
        <v>3416</v>
      </c>
      <c r="K72">
        <v>302.88</v>
      </c>
      <c r="L72" s="67" t="s">
        <v>3415</v>
      </c>
    </row>
    <row r="73" spans="1:12" ht="16.5">
      <c r="A73">
        <v>40697154</v>
      </c>
      <c r="B73" t="s">
        <v>3387</v>
      </c>
      <c r="D73" t="s">
        <v>1145</v>
      </c>
      <c r="E73">
        <v>45553</v>
      </c>
      <c r="F73" t="s">
        <v>14</v>
      </c>
      <c r="G73">
        <v>82.4</v>
      </c>
      <c r="H73" t="s">
        <v>3388</v>
      </c>
      <c r="I73">
        <v>2</v>
      </c>
      <c r="J73" t="s">
        <v>3416</v>
      </c>
      <c r="K73">
        <v>164.8</v>
      </c>
      <c r="L73" s="67" t="s">
        <v>3415</v>
      </c>
    </row>
    <row r="74" spans="1:12" ht="16.5">
      <c r="A74">
        <v>40697155</v>
      </c>
      <c r="B74" t="s">
        <v>3387</v>
      </c>
      <c r="D74" t="s">
        <v>964</v>
      </c>
      <c r="E74">
        <v>45553</v>
      </c>
      <c r="F74" t="s">
        <v>14</v>
      </c>
      <c r="G74">
        <v>91.34</v>
      </c>
      <c r="H74" t="s">
        <v>3388</v>
      </c>
      <c r="I74">
        <v>4</v>
      </c>
      <c r="J74" t="s">
        <v>3416</v>
      </c>
      <c r="K74">
        <v>365.36</v>
      </c>
      <c r="L74" s="67" t="s">
        <v>3415</v>
      </c>
    </row>
    <row r="75" spans="1:12" ht="16.5">
      <c r="A75">
        <v>40697156</v>
      </c>
      <c r="B75" t="s">
        <v>3387</v>
      </c>
      <c r="D75" t="s">
        <v>34</v>
      </c>
      <c r="E75">
        <v>45553</v>
      </c>
      <c r="F75" t="s">
        <v>14</v>
      </c>
      <c r="G75">
        <v>66.930000000000007</v>
      </c>
      <c r="H75" t="s">
        <v>3388</v>
      </c>
      <c r="I75">
        <v>24</v>
      </c>
      <c r="J75" t="s">
        <v>3416</v>
      </c>
      <c r="K75">
        <v>1606.32</v>
      </c>
      <c r="L75" s="67" t="s">
        <v>3415</v>
      </c>
    </row>
    <row r="76" spans="1:12" ht="16.5">
      <c r="A76">
        <v>40697157</v>
      </c>
      <c r="B76" t="s">
        <v>3387</v>
      </c>
      <c r="D76" t="s">
        <v>1108</v>
      </c>
      <c r="E76">
        <v>45553</v>
      </c>
      <c r="F76" t="s">
        <v>14</v>
      </c>
      <c r="G76">
        <v>81.14</v>
      </c>
      <c r="H76" t="s">
        <v>3388</v>
      </c>
      <c r="I76">
        <v>8</v>
      </c>
      <c r="J76" t="s">
        <v>3416</v>
      </c>
      <c r="K76">
        <v>649.12</v>
      </c>
      <c r="L76" s="67" t="s">
        <v>3415</v>
      </c>
    </row>
    <row r="77" spans="1:12" ht="16.5">
      <c r="A77">
        <v>40697158</v>
      </c>
      <c r="B77" t="s">
        <v>3387</v>
      </c>
      <c r="D77" t="s">
        <v>1174</v>
      </c>
      <c r="E77">
        <v>45553</v>
      </c>
      <c r="F77" t="s">
        <v>14</v>
      </c>
      <c r="G77">
        <v>528.21</v>
      </c>
      <c r="H77" t="s">
        <v>3388</v>
      </c>
      <c r="I77">
        <v>3</v>
      </c>
      <c r="J77" t="s">
        <v>3416</v>
      </c>
      <c r="K77">
        <v>1584.63</v>
      </c>
      <c r="L77" s="67" t="s">
        <v>3415</v>
      </c>
    </row>
    <row r="78" spans="1:12" ht="16.5">
      <c r="A78">
        <v>40697159</v>
      </c>
      <c r="B78" t="s">
        <v>3387</v>
      </c>
      <c r="D78" t="s">
        <v>3419</v>
      </c>
      <c r="E78">
        <v>45553</v>
      </c>
      <c r="F78" t="s">
        <v>14</v>
      </c>
      <c r="G78">
        <v>422.57</v>
      </c>
      <c r="H78" t="s">
        <v>3388</v>
      </c>
      <c r="I78">
        <v>1</v>
      </c>
      <c r="J78" t="s">
        <v>3416</v>
      </c>
      <c r="K78">
        <v>422.57</v>
      </c>
      <c r="L78" s="67" t="s">
        <v>3415</v>
      </c>
    </row>
    <row r="79" spans="1:12" ht="16.5">
      <c r="A79">
        <v>40697160</v>
      </c>
      <c r="B79" t="s">
        <v>3387</v>
      </c>
      <c r="D79" t="s">
        <v>3420</v>
      </c>
      <c r="E79">
        <v>45553</v>
      </c>
      <c r="F79" t="s">
        <v>14</v>
      </c>
      <c r="G79">
        <v>696.07</v>
      </c>
      <c r="H79" t="s">
        <v>3388</v>
      </c>
      <c r="I79">
        <v>2</v>
      </c>
      <c r="J79" t="s">
        <v>3416</v>
      </c>
      <c r="K79">
        <v>1392.14</v>
      </c>
      <c r="L79" s="67" t="s">
        <v>3415</v>
      </c>
    </row>
    <row r="80" spans="1:12" ht="16.5">
      <c r="A80">
        <v>40697161</v>
      </c>
      <c r="B80" t="s">
        <v>3387</v>
      </c>
      <c r="D80" t="s">
        <v>1182</v>
      </c>
      <c r="E80">
        <v>45553</v>
      </c>
      <c r="F80" t="s">
        <v>14</v>
      </c>
      <c r="G80">
        <v>466.12</v>
      </c>
      <c r="H80" t="s">
        <v>3388</v>
      </c>
      <c r="I80">
        <v>6</v>
      </c>
      <c r="J80" t="s">
        <v>3416</v>
      </c>
      <c r="K80">
        <v>2796.72</v>
      </c>
      <c r="L80" s="67" t="s">
        <v>3415</v>
      </c>
    </row>
    <row r="81" spans="1:12" ht="16.5">
      <c r="A81">
        <v>40697162</v>
      </c>
      <c r="B81" t="s">
        <v>3387</v>
      </c>
      <c r="D81" t="s">
        <v>1039</v>
      </c>
      <c r="E81">
        <v>45553</v>
      </c>
      <c r="F81" t="s">
        <v>14</v>
      </c>
      <c r="G81">
        <v>576.77</v>
      </c>
      <c r="H81" t="s">
        <v>3388</v>
      </c>
      <c r="I81">
        <v>2</v>
      </c>
      <c r="J81" t="s">
        <v>3416</v>
      </c>
      <c r="K81">
        <v>1153.54</v>
      </c>
      <c r="L81" s="67" t="s">
        <v>3415</v>
      </c>
    </row>
    <row r="82" spans="1:12">
      <c r="A82">
        <v>40694922</v>
      </c>
      <c r="B82" t="s">
        <v>3387</v>
      </c>
      <c r="D82" t="s">
        <v>804</v>
      </c>
      <c r="E82">
        <v>45820</v>
      </c>
      <c r="F82" t="s">
        <v>14</v>
      </c>
      <c r="G82">
        <v>692.73</v>
      </c>
      <c r="H82" t="s">
        <v>3388</v>
      </c>
      <c r="I82">
        <v>4</v>
      </c>
      <c r="J82" t="s">
        <v>3414</v>
      </c>
      <c r="K82">
        <v>2770.92</v>
      </c>
      <c r="L82" t="s">
        <v>3421</v>
      </c>
    </row>
    <row r="83" spans="1:12">
      <c r="A83">
        <v>40694924</v>
      </c>
      <c r="B83" t="s">
        <v>3387</v>
      </c>
      <c r="D83" t="s">
        <v>16</v>
      </c>
      <c r="E83">
        <v>45820</v>
      </c>
      <c r="F83" t="s">
        <v>14</v>
      </c>
      <c r="G83">
        <v>714.31</v>
      </c>
      <c r="H83" t="s">
        <v>3388</v>
      </c>
      <c r="I83">
        <v>4</v>
      </c>
      <c r="J83" t="s">
        <v>3414</v>
      </c>
      <c r="K83">
        <v>2857.24</v>
      </c>
      <c r="L83" t="s">
        <v>3421</v>
      </c>
    </row>
    <row r="84" spans="1:12">
      <c r="A84">
        <v>40694925</v>
      </c>
      <c r="B84" t="s">
        <v>3387</v>
      </c>
      <c r="D84" t="s">
        <v>843</v>
      </c>
      <c r="E84">
        <v>45820</v>
      </c>
      <c r="F84" t="s">
        <v>14</v>
      </c>
      <c r="G84">
        <v>396.84</v>
      </c>
      <c r="H84" t="s">
        <v>3388</v>
      </c>
      <c r="I84">
        <v>2</v>
      </c>
      <c r="J84" t="s">
        <v>3414</v>
      </c>
      <c r="K84">
        <v>793.68</v>
      </c>
      <c r="L84" t="s">
        <v>3421</v>
      </c>
    </row>
    <row r="85" spans="1:12">
      <c r="A85">
        <v>40694927</v>
      </c>
      <c r="B85" t="s">
        <v>3387</v>
      </c>
      <c r="D85" t="s">
        <v>829</v>
      </c>
      <c r="E85">
        <v>45553</v>
      </c>
      <c r="F85" t="s">
        <v>14</v>
      </c>
      <c r="G85">
        <v>69.45</v>
      </c>
      <c r="H85" t="s">
        <v>3388</v>
      </c>
      <c r="I85">
        <v>3</v>
      </c>
      <c r="J85" t="s">
        <v>3414</v>
      </c>
      <c r="K85">
        <v>208.35</v>
      </c>
      <c r="L85" t="s">
        <v>3421</v>
      </c>
    </row>
    <row r="86" spans="1:12">
      <c r="A86">
        <v>40694928</v>
      </c>
      <c r="B86" t="s">
        <v>3387</v>
      </c>
      <c r="D86" t="s">
        <v>864</v>
      </c>
      <c r="E86">
        <v>45553</v>
      </c>
      <c r="F86" t="s">
        <v>14</v>
      </c>
      <c r="G86">
        <v>14.1</v>
      </c>
      <c r="H86" t="s">
        <v>3388</v>
      </c>
      <c r="I86">
        <v>4</v>
      </c>
      <c r="J86" t="s">
        <v>3414</v>
      </c>
      <c r="K86">
        <v>56.4</v>
      </c>
      <c r="L86" t="s">
        <v>3421</v>
      </c>
    </row>
    <row r="87" spans="1:12">
      <c r="A87">
        <v>40694929</v>
      </c>
      <c r="B87" t="s">
        <v>3387</v>
      </c>
      <c r="D87" t="s">
        <v>840</v>
      </c>
      <c r="E87">
        <v>45553</v>
      </c>
      <c r="F87" t="s">
        <v>14</v>
      </c>
      <c r="G87">
        <v>142.38</v>
      </c>
      <c r="H87" t="s">
        <v>3388</v>
      </c>
      <c r="I87">
        <v>4</v>
      </c>
      <c r="J87" t="s">
        <v>3414</v>
      </c>
      <c r="K87">
        <v>569.52</v>
      </c>
      <c r="L87" t="s">
        <v>3421</v>
      </c>
    </row>
    <row r="88" spans="1:12">
      <c r="A88">
        <v>40694930</v>
      </c>
      <c r="B88" t="s">
        <v>3387</v>
      </c>
      <c r="D88" t="s">
        <v>826</v>
      </c>
      <c r="E88">
        <v>45553</v>
      </c>
      <c r="F88" t="s">
        <v>14</v>
      </c>
      <c r="G88">
        <v>26.11</v>
      </c>
      <c r="H88" t="s">
        <v>3388</v>
      </c>
      <c r="I88">
        <v>4</v>
      </c>
      <c r="J88" t="s">
        <v>3414</v>
      </c>
      <c r="K88">
        <v>104.44</v>
      </c>
      <c r="L88" t="s">
        <v>3421</v>
      </c>
    </row>
    <row r="89" spans="1:12">
      <c r="A89">
        <v>40694933</v>
      </c>
      <c r="B89" t="s">
        <v>3387</v>
      </c>
      <c r="D89" t="s">
        <v>861</v>
      </c>
      <c r="E89">
        <v>45820</v>
      </c>
      <c r="F89" t="s">
        <v>14</v>
      </c>
      <c r="G89">
        <v>72.42</v>
      </c>
      <c r="H89" t="s">
        <v>3388</v>
      </c>
      <c r="I89">
        <v>2</v>
      </c>
      <c r="J89" t="s">
        <v>3414</v>
      </c>
      <c r="K89">
        <v>144.84</v>
      </c>
      <c r="L89" t="s">
        <v>3421</v>
      </c>
    </row>
    <row r="90" spans="1:12">
      <c r="A90">
        <v>40694936</v>
      </c>
      <c r="B90" t="s">
        <v>3387</v>
      </c>
      <c r="D90" t="s">
        <v>19</v>
      </c>
      <c r="E90">
        <v>45820</v>
      </c>
      <c r="F90" t="s">
        <v>14</v>
      </c>
      <c r="G90">
        <v>2088.63</v>
      </c>
      <c r="H90" t="s">
        <v>3388</v>
      </c>
      <c r="I90">
        <v>6</v>
      </c>
      <c r="J90" t="s">
        <v>3414</v>
      </c>
      <c r="K90">
        <v>12531.78</v>
      </c>
      <c r="L90" t="s">
        <v>3421</v>
      </c>
    </row>
    <row r="91" spans="1:12">
      <c r="A91">
        <v>40694938</v>
      </c>
      <c r="B91" t="s">
        <v>3387</v>
      </c>
      <c r="D91" t="s">
        <v>22</v>
      </c>
      <c r="E91">
        <v>45820</v>
      </c>
      <c r="F91" t="s">
        <v>14</v>
      </c>
      <c r="G91">
        <v>1148.2</v>
      </c>
      <c r="H91" t="s">
        <v>3388</v>
      </c>
      <c r="I91">
        <v>7</v>
      </c>
      <c r="J91" t="s">
        <v>3414</v>
      </c>
      <c r="K91">
        <v>8037.4</v>
      </c>
      <c r="L91" t="s">
        <v>3421</v>
      </c>
    </row>
    <row r="92" spans="1:12">
      <c r="A92">
        <v>40694939</v>
      </c>
      <c r="B92" t="s">
        <v>3387</v>
      </c>
      <c r="D92" t="s">
        <v>23</v>
      </c>
      <c r="E92">
        <v>45820</v>
      </c>
      <c r="F92" t="s">
        <v>14</v>
      </c>
      <c r="G92">
        <v>1147.8900000000001</v>
      </c>
      <c r="H92" t="s">
        <v>3388</v>
      </c>
      <c r="I92">
        <v>7</v>
      </c>
      <c r="J92" t="s">
        <v>3414</v>
      </c>
      <c r="K92">
        <v>8035.23</v>
      </c>
      <c r="L92" t="s">
        <v>3421</v>
      </c>
    </row>
    <row r="93" spans="1:12">
      <c r="A93">
        <v>40694941</v>
      </c>
      <c r="B93" t="s">
        <v>3387</v>
      </c>
      <c r="D93" t="s">
        <v>720</v>
      </c>
      <c r="E93">
        <v>45553</v>
      </c>
      <c r="F93" t="s">
        <v>14</v>
      </c>
      <c r="G93">
        <v>1705.72</v>
      </c>
      <c r="H93" t="s">
        <v>3388</v>
      </c>
      <c r="I93">
        <v>2</v>
      </c>
      <c r="J93" t="s">
        <v>3414</v>
      </c>
      <c r="K93">
        <v>3411.44</v>
      </c>
      <c r="L93" t="s">
        <v>3421</v>
      </c>
    </row>
    <row r="94" spans="1:12">
      <c r="A94">
        <v>40694945</v>
      </c>
      <c r="B94" t="s">
        <v>3387</v>
      </c>
      <c r="D94" t="s">
        <v>25</v>
      </c>
      <c r="E94">
        <v>45820</v>
      </c>
      <c r="F94" t="s">
        <v>14</v>
      </c>
      <c r="G94">
        <v>641.55999999999995</v>
      </c>
      <c r="H94" t="s">
        <v>3388</v>
      </c>
      <c r="I94">
        <v>4</v>
      </c>
      <c r="J94" t="s">
        <v>3414</v>
      </c>
      <c r="K94">
        <v>2566.2399999999998</v>
      </c>
      <c r="L94" t="s">
        <v>3421</v>
      </c>
    </row>
    <row r="95" spans="1:12">
      <c r="A95">
        <v>40679008</v>
      </c>
      <c r="B95" t="s">
        <v>3387</v>
      </c>
      <c r="D95" t="s">
        <v>1085</v>
      </c>
      <c r="E95">
        <v>45820</v>
      </c>
      <c r="F95" t="s">
        <v>14</v>
      </c>
      <c r="G95">
        <v>4460.1099999999997</v>
      </c>
      <c r="H95" t="s">
        <v>3388</v>
      </c>
      <c r="I95">
        <v>34</v>
      </c>
      <c r="K95">
        <v>151643.74</v>
      </c>
      <c r="L95" t="s">
        <v>3422</v>
      </c>
    </row>
    <row r="96" spans="1:12">
      <c r="A96">
        <v>40704248</v>
      </c>
      <c r="B96" t="s">
        <v>3387</v>
      </c>
      <c r="D96" t="s">
        <v>3423</v>
      </c>
      <c r="E96">
        <v>45553</v>
      </c>
      <c r="F96" t="s">
        <v>14</v>
      </c>
      <c r="G96">
        <v>194.81</v>
      </c>
      <c r="H96" t="s">
        <v>3388</v>
      </c>
      <c r="I96">
        <v>1</v>
      </c>
      <c r="K96" s="16">
        <v>194.81</v>
      </c>
      <c r="L96" t="s">
        <v>3424</v>
      </c>
    </row>
    <row r="97" spans="1:12">
      <c r="A97">
        <v>40704249</v>
      </c>
      <c r="B97" t="s">
        <v>3387</v>
      </c>
      <c r="D97" t="s">
        <v>3425</v>
      </c>
      <c r="E97">
        <v>45553</v>
      </c>
      <c r="F97" t="s">
        <v>14</v>
      </c>
      <c r="G97">
        <v>965.06</v>
      </c>
      <c r="H97" t="s">
        <v>3388</v>
      </c>
      <c r="I97">
        <v>1</v>
      </c>
      <c r="K97" s="16">
        <v>965.06</v>
      </c>
      <c r="L97" t="s">
        <v>3424</v>
      </c>
    </row>
    <row r="98" spans="1:12">
      <c r="A98">
        <v>40722343</v>
      </c>
      <c r="B98" t="s">
        <v>3387</v>
      </c>
      <c r="D98" t="s">
        <v>3426</v>
      </c>
      <c r="E98">
        <v>45553</v>
      </c>
      <c r="F98" t="s">
        <v>59</v>
      </c>
      <c r="G98">
        <v>5076.7299999999996</v>
      </c>
      <c r="H98" t="s">
        <v>3388</v>
      </c>
      <c r="I98">
        <v>1</v>
      </c>
      <c r="K98" s="16">
        <v>5076.7299999999996</v>
      </c>
      <c r="L98" t="s">
        <v>3424</v>
      </c>
    </row>
    <row r="99" spans="1:12">
      <c r="A99">
        <v>40722465</v>
      </c>
      <c r="B99" t="s">
        <v>3387</v>
      </c>
      <c r="D99" t="s">
        <v>3427</v>
      </c>
      <c r="E99">
        <v>45820</v>
      </c>
      <c r="F99" t="s">
        <v>14</v>
      </c>
      <c r="G99">
        <v>926.15</v>
      </c>
      <c r="H99" t="s">
        <v>3388</v>
      </c>
      <c r="I99">
        <v>1</v>
      </c>
      <c r="K99" s="16">
        <v>926.15</v>
      </c>
      <c r="L99" t="s">
        <v>3424</v>
      </c>
    </row>
    <row r="100" spans="1:12">
      <c r="A100">
        <v>40722470</v>
      </c>
      <c r="B100" t="s">
        <v>3387</v>
      </c>
      <c r="D100" t="s">
        <v>594</v>
      </c>
      <c r="E100">
        <v>45820</v>
      </c>
      <c r="F100" t="s">
        <v>14</v>
      </c>
      <c r="G100">
        <v>882.6</v>
      </c>
      <c r="H100" t="s">
        <v>3388</v>
      </c>
      <c r="I100">
        <v>1</v>
      </c>
      <c r="K100">
        <v>882.6</v>
      </c>
      <c r="L100" t="s">
        <v>3428</v>
      </c>
    </row>
    <row r="101" spans="1:12">
      <c r="A101">
        <v>40722570</v>
      </c>
      <c r="B101" t="s">
        <v>3387</v>
      </c>
      <c r="D101" t="s">
        <v>597</v>
      </c>
      <c r="E101">
        <v>45820</v>
      </c>
      <c r="F101" t="s">
        <v>14</v>
      </c>
      <c r="G101">
        <v>206.3</v>
      </c>
      <c r="H101" t="s">
        <v>3388</v>
      </c>
      <c r="I101">
        <v>1</v>
      </c>
      <c r="K101">
        <v>206.3</v>
      </c>
      <c r="L101" t="s">
        <v>3428</v>
      </c>
    </row>
    <row r="102" spans="1:12">
      <c r="A102">
        <v>40722573</v>
      </c>
      <c r="B102" t="s">
        <v>3387</v>
      </c>
      <c r="D102" t="s">
        <v>588</v>
      </c>
      <c r="E102">
        <v>45820</v>
      </c>
      <c r="F102" t="s">
        <v>14</v>
      </c>
      <c r="G102">
        <v>302.24</v>
      </c>
      <c r="H102" t="s">
        <v>3388</v>
      </c>
      <c r="I102">
        <v>1</v>
      </c>
      <c r="K102">
        <v>302.24</v>
      </c>
      <c r="L102" t="s">
        <v>3428</v>
      </c>
    </row>
    <row r="103" spans="1:12">
      <c r="A103">
        <v>40722580</v>
      </c>
      <c r="B103" t="s">
        <v>3387</v>
      </c>
      <c r="D103" t="s">
        <v>11</v>
      </c>
      <c r="E103">
        <v>45820</v>
      </c>
      <c r="F103" t="s">
        <v>14</v>
      </c>
      <c r="G103">
        <v>3707.44</v>
      </c>
      <c r="H103" t="s">
        <v>3388</v>
      </c>
      <c r="I103">
        <v>2</v>
      </c>
      <c r="K103">
        <v>7414.88</v>
      </c>
      <c r="L103" t="s">
        <v>3428</v>
      </c>
    </row>
    <row r="104" spans="1:12">
      <c r="A104">
        <v>40724977</v>
      </c>
      <c r="B104" t="s">
        <v>3387</v>
      </c>
      <c r="D104" t="s">
        <v>3429</v>
      </c>
      <c r="E104">
        <v>45820</v>
      </c>
      <c r="F104" t="s">
        <v>14</v>
      </c>
      <c r="G104">
        <v>436.98</v>
      </c>
      <c r="H104" t="s">
        <v>3388</v>
      </c>
      <c r="I104">
        <v>2</v>
      </c>
      <c r="K104">
        <v>873.96</v>
      </c>
      <c r="L104" t="s">
        <v>3428</v>
      </c>
    </row>
    <row r="105" spans="1:12">
      <c r="A105">
        <v>40760838</v>
      </c>
      <c r="B105" t="s">
        <v>3387</v>
      </c>
      <c r="D105" t="s">
        <v>466</v>
      </c>
      <c r="E105">
        <v>45820</v>
      </c>
      <c r="F105" t="s">
        <v>14</v>
      </c>
      <c r="G105">
        <v>227.72</v>
      </c>
      <c r="H105" t="s">
        <v>3388</v>
      </c>
      <c r="I105">
        <v>2</v>
      </c>
      <c r="K105">
        <v>455.44</v>
      </c>
      <c r="L105" t="s">
        <v>3422</v>
      </c>
    </row>
    <row r="106" spans="1:12">
      <c r="A106">
        <v>40760842</v>
      </c>
      <c r="B106" t="s">
        <v>3387</v>
      </c>
      <c r="D106" t="s">
        <v>366</v>
      </c>
      <c r="E106">
        <v>45820</v>
      </c>
      <c r="F106" t="s">
        <v>14</v>
      </c>
      <c r="G106">
        <v>192.42</v>
      </c>
      <c r="H106" t="s">
        <v>3388</v>
      </c>
      <c r="I106">
        <v>2</v>
      </c>
      <c r="K106">
        <v>384.84</v>
      </c>
      <c r="L106" t="s">
        <v>3422</v>
      </c>
    </row>
    <row r="107" spans="1:12">
      <c r="A107">
        <v>40760843</v>
      </c>
      <c r="B107" t="s">
        <v>3387</v>
      </c>
      <c r="D107" t="s">
        <v>647</v>
      </c>
      <c r="E107">
        <v>45820</v>
      </c>
      <c r="F107" t="s">
        <v>14</v>
      </c>
      <c r="G107">
        <v>37.31</v>
      </c>
      <c r="H107" t="s">
        <v>3388</v>
      </c>
      <c r="I107">
        <v>4</v>
      </c>
      <c r="K107">
        <v>149.24</v>
      </c>
      <c r="L107" t="s">
        <v>3422</v>
      </c>
    </row>
    <row r="108" spans="1:12">
      <c r="A108">
        <v>40760844</v>
      </c>
      <c r="B108" t="s">
        <v>3387</v>
      </c>
      <c r="D108" t="s">
        <v>610</v>
      </c>
      <c r="E108">
        <v>45820</v>
      </c>
      <c r="F108" t="s">
        <v>14</v>
      </c>
      <c r="G108">
        <v>36.58</v>
      </c>
      <c r="H108" t="s">
        <v>3388</v>
      </c>
      <c r="I108">
        <v>2</v>
      </c>
      <c r="K108">
        <v>73.16</v>
      </c>
      <c r="L108" t="s">
        <v>3422</v>
      </c>
    </row>
    <row r="109" spans="1:12">
      <c r="A109">
        <v>40760845</v>
      </c>
      <c r="B109" t="s">
        <v>3387</v>
      </c>
      <c r="D109" t="s">
        <v>644</v>
      </c>
      <c r="E109">
        <v>45820</v>
      </c>
      <c r="F109" t="s">
        <v>14</v>
      </c>
      <c r="G109">
        <v>43.71</v>
      </c>
      <c r="H109" t="s">
        <v>3388</v>
      </c>
      <c r="I109">
        <v>5</v>
      </c>
      <c r="K109">
        <v>218.55</v>
      </c>
      <c r="L109" t="s">
        <v>3422</v>
      </c>
    </row>
    <row r="110" spans="1:12">
      <c r="A110">
        <v>40760846</v>
      </c>
      <c r="B110" t="s">
        <v>3387</v>
      </c>
      <c r="D110" t="s">
        <v>641</v>
      </c>
      <c r="E110">
        <v>45820</v>
      </c>
      <c r="F110" t="s">
        <v>14</v>
      </c>
      <c r="G110">
        <v>50.48</v>
      </c>
      <c r="H110" t="s">
        <v>3388</v>
      </c>
      <c r="I110">
        <v>5</v>
      </c>
      <c r="K110">
        <v>252.4</v>
      </c>
      <c r="L110" t="s">
        <v>3422</v>
      </c>
    </row>
    <row r="111" spans="1:12">
      <c r="A111">
        <v>40760848</v>
      </c>
      <c r="B111" t="s">
        <v>3387</v>
      </c>
      <c r="D111" t="s">
        <v>600</v>
      </c>
      <c r="E111">
        <v>45820</v>
      </c>
      <c r="F111" t="s">
        <v>14</v>
      </c>
      <c r="G111">
        <v>198.82</v>
      </c>
      <c r="H111" t="s">
        <v>3388</v>
      </c>
      <c r="I111">
        <v>3</v>
      </c>
      <c r="K111">
        <v>596.46</v>
      </c>
      <c r="L111" t="s">
        <v>3422</v>
      </c>
    </row>
    <row r="112" spans="1:12">
      <c r="A112">
        <v>40760849</v>
      </c>
      <c r="B112" t="s">
        <v>3387</v>
      </c>
      <c r="D112" t="s">
        <v>607</v>
      </c>
      <c r="E112">
        <v>45820</v>
      </c>
      <c r="F112" t="s">
        <v>14</v>
      </c>
      <c r="G112">
        <v>36.4</v>
      </c>
      <c r="H112" t="s">
        <v>3388</v>
      </c>
      <c r="I112">
        <v>5</v>
      </c>
      <c r="K112">
        <v>182</v>
      </c>
      <c r="L112" t="s">
        <v>3422</v>
      </c>
    </row>
    <row r="113" spans="1:12">
      <c r="A113">
        <v>40760852</v>
      </c>
      <c r="B113" t="s">
        <v>3387</v>
      </c>
      <c r="D113" t="s">
        <v>604</v>
      </c>
      <c r="E113">
        <v>45820</v>
      </c>
      <c r="F113" t="s">
        <v>14</v>
      </c>
      <c r="G113">
        <v>77.37</v>
      </c>
      <c r="H113" t="s">
        <v>3388</v>
      </c>
      <c r="I113">
        <v>10</v>
      </c>
      <c r="K113">
        <v>773.7</v>
      </c>
      <c r="L113" t="s">
        <v>3422</v>
      </c>
    </row>
    <row r="114" spans="1:12">
      <c r="A114">
        <v>40760853</v>
      </c>
      <c r="B114" t="s">
        <v>3387</v>
      </c>
      <c r="D114" t="s">
        <v>638</v>
      </c>
      <c r="E114">
        <v>45820</v>
      </c>
      <c r="F114" t="s">
        <v>14</v>
      </c>
      <c r="G114">
        <v>96.58</v>
      </c>
      <c r="H114" t="s">
        <v>3388</v>
      </c>
      <c r="I114">
        <v>20</v>
      </c>
      <c r="K114">
        <v>1931.6</v>
      </c>
      <c r="L114" t="s">
        <v>3422</v>
      </c>
    </row>
    <row r="115" spans="1:12">
      <c r="A115">
        <v>40760854</v>
      </c>
      <c r="B115" t="s">
        <v>3387</v>
      </c>
      <c r="D115" t="s">
        <v>555</v>
      </c>
      <c r="E115">
        <v>45820</v>
      </c>
      <c r="F115" t="s">
        <v>14</v>
      </c>
      <c r="G115">
        <v>108.11</v>
      </c>
      <c r="H115" t="s">
        <v>3388</v>
      </c>
      <c r="I115">
        <v>19</v>
      </c>
      <c r="K115">
        <v>2054.09</v>
      </c>
      <c r="L115" t="s">
        <v>3422</v>
      </c>
    </row>
    <row r="116" spans="1:12">
      <c r="A116">
        <v>40760855</v>
      </c>
      <c r="B116" t="s">
        <v>3387</v>
      </c>
      <c r="D116" t="s">
        <v>558</v>
      </c>
      <c r="E116">
        <v>45820</v>
      </c>
      <c r="F116" t="s">
        <v>14</v>
      </c>
      <c r="G116">
        <v>175.23</v>
      </c>
      <c r="H116" t="s">
        <v>3388</v>
      </c>
      <c r="I116">
        <v>3</v>
      </c>
      <c r="K116">
        <v>525.69000000000005</v>
      </c>
      <c r="L116" t="s">
        <v>3422</v>
      </c>
    </row>
    <row r="117" spans="1:12">
      <c r="K117">
        <v>527993.82999999996</v>
      </c>
    </row>
  </sheetData>
  <autoFilter ref="A1:L117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D56B3C6251FE44B0B5A65E3B50CF68" ma:contentTypeVersion="1" ma:contentTypeDescription="Create a new document." ma:contentTypeScope="" ma:versionID="b584bfcfd24eb3ca427468547bfbec23">
  <xsd:schema xmlns:xsd="http://www.w3.org/2001/XMLSchema" xmlns:xs="http://www.w3.org/2001/XMLSchema" xmlns:p="http://schemas.microsoft.com/office/2006/metadata/properties" xmlns:ns3="61bb45c7-b49d-4180-8caa-be003b64325b" targetNamespace="http://schemas.microsoft.com/office/2006/metadata/properties" ma:root="true" ma:fieldsID="392c73e00fff2bc8c5271bda967f007e" ns3:_="">
    <xsd:import namespace="61bb45c7-b49d-4180-8caa-be003b6432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b45c7-b49d-4180-8caa-be003b6432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C8D808-4286-4A22-88B1-DCFE741043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bb45c7-b49d-4180-8caa-be003b6432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208B56-3B43-4AD2-B981-563CFC741EA4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61bb45c7-b49d-4180-8caa-be003b64325b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D5FF3AD-32E9-4F1C-8B6A-F8C575934EA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B1 warehouse stock</vt:lpstr>
      <vt:lpstr>B2 warehouse stock</vt:lpstr>
      <vt:lpstr>Sheet1</vt:lpstr>
      <vt:lpstr>'B1 warehouse stock'!Print_Titles</vt:lpstr>
      <vt:lpstr>'B2 warehouse stock'!Print_Titles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Hang</dc:creator>
  <cp:lastModifiedBy>Landry</cp:lastModifiedBy>
  <dcterms:created xsi:type="dcterms:W3CDTF">2025-07-28T05:32:00Z</dcterms:created>
  <dcterms:modified xsi:type="dcterms:W3CDTF">2026-09-16T17:47:35Z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ContentTypeId">
    <vt:lpwstr>0x0101004BD56B3C6251FE44B0B5A65E3B50CF68</vt:lpwstr>
  </property>
  <property fmtid="{D5CDD505-2E9C-101B-9397-08002B2CF9AE}" pid="4" name="ICV">
    <vt:lpwstr>fb79daf60e614e30bf4132c56f90a695</vt:lpwstr>
  </property>
  <property fmtid="{D5CDD505-2E9C-101B-9397-08002B2CF9AE}" pid="5" name="KSOProductBuildVer">
    <vt:lpwstr>2052-12.1.0.25222</vt:lpwstr>
  </property>
</Properties>
</file>